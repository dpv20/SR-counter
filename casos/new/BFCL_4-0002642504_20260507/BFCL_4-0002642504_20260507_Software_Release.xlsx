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code\oracle\casos\new\BFCL_4-0002642504_20260507\"/>
    </mc:Choice>
  </mc:AlternateContent>
  <xr:revisionPtr revIDLastSave="0" documentId="13_ncr:1_{5E4CFE17-6C81-4A67-BE47-9B62A6878038}" xr6:coauthVersionLast="47" xr6:coauthVersionMax="47" xr10:uidLastSave="{00000000-0000-0000-0000-000000000000}"/>
  <bookViews>
    <workbookView xWindow="-120" yWindow="-120" windowWidth="29040" windowHeight="15840" activeTab="4" xr2:uid="{00000000-000D-0000-FFFF-FFFF00000000}"/>
  </bookViews>
  <sheets>
    <sheet name="SR" sheetId="1" r:id="rId1"/>
    <sheet name="1_Detalles" sheetId="2" r:id="rId2"/>
    <sheet name="2_Precauciones" sheetId="3" r:id="rId3"/>
    <sheet name="3_Instalacion" sheetId="4" r:id="rId4"/>
    <sheet name="4_Rollback" sheetId="5" r:id="rId5"/>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5" l="1"/>
  <c r="D6" i="5"/>
  <c r="D5" i="5"/>
  <c r="D7" i="4"/>
  <c r="D6" i="4"/>
  <c r="D5" i="4"/>
  <c r="D7" i="3"/>
  <c r="D6" i="3"/>
  <c r="D5" i="3"/>
  <c r="F18" i="2"/>
  <c r="F19" i="2" s="1"/>
  <c r="F20" i="2" s="1"/>
  <c r="F21" i="2" s="1"/>
  <c r="F22" i="2" s="1"/>
  <c r="F23" i="2" s="1"/>
  <c r="F24" i="2" s="1"/>
  <c r="F25" i="2" s="1"/>
  <c r="F26" i="2" s="1"/>
  <c r="F27" i="2" s="1"/>
  <c r="F28" i="2" s="1"/>
  <c r="F29" i="2" s="1"/>
  <c r="F30" i="2" s="1"/>
  <c r="F31" i="2" s="1"/>
  <c r="B18" i="2"/>
  <c r="B19" i="2" s="1"/>
  <c r="B20" i="2" s="1"/>
  <c r="B21" i="2" s="1"/>
  <c r="B22" i="2" s="1"/>
  <c r="B23" i="2" s="1"/>
  <c r="B24" i="2" s="1"/>
  <c r="B25" i="2" s="1"/>
  <c r="B26" i="2" s="1"/>
  <c r="B27" i="2" s="1"/>
  <c r="B28" i="2" s="1"/>
  <c r="B29" i="2" s="1"/>
  <c r="B30" i="2" s="1"/>
  <c r="B31" i="2" s="1"/>
  <c r="D7" i="2"/>
  <c r="D6" i="2"/>
  <c r="D5" i="2"/>
  <c r="D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Scarlett</author>
  </authors>
  <commentList>
    <comment ref="C12" authorId="0" shapeId="0" xr:uid="{00000000-0006-0000-0300-000001000000}">
      <text>
        <r>
          <rPr>
            <sz val="11"/>
            <color theme="1"/>
            <rFont val="Oracle Sans Tab"/>
            <family val="2"/>
            <scheme val="minor"/>
          </rPr>
          <t xml:space="preserve">Indicate recommended day to install
</t>
        </r>
      </text>
    </comment>
    <comment ref="C13" authorId="0" shapeId="0" xr:uid="{00000000-0006-0000-0300-000002000000}">
      <text>
        <r>
          <rPr>
            <sz val="11"/>
            <color theme="1"/>
            <rFont val="Oracle Sans Tab"/>
            <family val="2"/>
            <scheme val="minor"/>
          </rPr>
          <t>When should be the first execution?</t>
        </r>
      </text>
    </comment>
  </commentList>
</comments>
</file>

<file path=xl/sharedStrings.xml><?xml version="1.0" encoding="utf-8"?>
<sst xmlns="http://schemas.openxmlformats.org/spreadsheetml/2006/main" count="91" uniqueCount="63">
  <si>
    <t>FLEXCUBE CORPORATE 11.3</t>
  </si>
  <si>
    <t>Specifications and Installation Document
Managed Services</t>
  </si>
  <si>
    <t>SR</t>
  </si>
  <si>
    <t>4-0002642504</t>
  </si>
  <si>
    <t>SR Descripción</t>
  </si>
  <si>
    <t>País</t>
  </si>
  <si>
    <t>Chile</t>
  </si>
  <si>
    <t>Persona de Contacto</t>
  </si>
  <si>
    <t>Diego Pavez Verdi</t>
  </si>
  <si>
    <t>Fecha de entrega</t>
  </si>
  <si>
    <t>All rights reserved.  No part of this work may be reproduced, stored in a retrieval system, adopted or transmitted in any form or by any means, electronic, mechanical, photographic, graphic, optic recording or otherwise, translated in any language or computer language, without the prior written permission of Oracle Financial Services Software Limited.
Due care has been taken to make this Specifications and Installation document as accurate as possible.  However, Oracle Financial Services Software Limited makes no representation or warranties with respect to the contents hereof and shall not be responsible for any loss or damage caused to the user by the direct or indirect use of this Specifications and Installation document.  Furthermore, Oracle Financial Services Software Limited reserves the right to alter, modify or otherwise change in any manner the content hereof, without obligation of Oracle Financial Services Software Limited to notify any person of such revision or changes.
All company and product names are trademarks of the respective companies with which they are associated.</t>
  </si>
  <si>
    <t>COPYRIGHT © 2024 Oracle Financial Services Software Limited</t>
  </si>
  <si>
    <t>Document Control Versions</t>
  </si>
  <si>
    <t>Creado por</t>
  </si>
  <si>
    <t>Revisado por</t>
  </si>
  <si>
    <t>Pendiente de revision</t>
  </si>
  <si>
    <t>Ultima modificación</t>
  </si>
  <si>
    <t>Versión</t>
  </si>
  <si>
    <t>V.1</t>
  </si>
  <si>
    <t>Descripción del Problema</t>
  </si>
  <si>
    <t>Problema Reportado</t>
  </si>
  <si>
    <t>Se requiere que la respuesta del servicio Query Customer CL Accounts incorpore los tags FCCODDAYS, LEGOVDDAYS y TOTALODDAYS, de acuerdo con el requerimiento ORA-310 asociado al SR 4-0002642504.</t>
  </si>
  <si>
    <t>Analisis</t>
  </si>
  <si>
    <t>Se revisa el package body gwpks_query_cust_claccounts y se identifica que la lista de tags de salida para C-CLACCDET no contempla los nuevos tags solicitados. Se ajusta la definicion de p_tslist para incluir FCCODDAYS, LEGOVDDAYS y TOTALODDAYS en la respuesta.</t>
  </si>
  <si>
    <t>Causa Raiz</t>
  </si>
  <si>
    <t>La estructura de respuesta del servicio no tenia declarados los tags requeridos para exponer los dias solicitados por el requerimiento ORA-310.</t>
  </si>
  <si>
    <t>Impacto</t>
  </si>
  <si>
    <t>Luego de la instalacion, la estructura de salida del servicio Query Customer CL Accounts incluira los tags FCCODDAYS, LEGOVDDAYS y TOTALODDAYS para el detalle de cuentas CL.</t>
  </si>
  <si>
    <t>Objetos a Instalar</t>
  </si>
  <si>
    <t>Objetos a Desinstalar</t>
  </si>
  <si>
    <t>No.</t>
  </si>
  <si>
    <t>Nombre</t>
  </si>
  <si>
    <t>Tipo</t>
  </si>
  <si>
    <t>gwpks_query_cust_claccounts.sql</t>
  </si>
  <si>
    <t>Package Body</t>
  </si>
  <si>
    <t>Precauciones</t>
  </si>
  <si>
    <t>Antes de instalar, realizar respaldo de unidades desde el ambiente respectivo</t>
  </si>
  <si>
    <t>Realizar pruebas en ambiente UAT antes de instalar, con la finalidad de validar el funcionamiento previo antes de la instalación.</t>
  </si>
  <si>
    <t>Realizar pruebas en ambiente UAT despues de instalar, para validar el funcionamiento posterior a instalación, estas pruebas deben ser exitosas.</t>
  </si>
  <si>
    <t>Antes y después de ejecutar se deben validar los objetos Inválidos en la Base de Datos.</t>
  </si>
  <si>
    <t>En toda creacion de tablas se debe conceder acceso a la tabla.</t>
  </si>
  <si>
    <t>Se debe proveer al Equipo de N2 (nivel2_oraclesoporte@falabella.onmicrosoft.com) de los log de ejecución en producción para su validación.</t>
  </si>
  <si>
    <t>En caso de cualquier error duante la ejecucion contactar de inmediato al Equipo de N2 (nivel2_oraclesoporte@falabella.onmicrosoft.com).</t>
  </si>
  <si>
    <t>Antes de promover estos cambios a Producción, es obligatorio ejecutar el ciclo completo de operaciones en el entorno QA usando el switch, con el fin de validar de manera integral el correcto funcionamiento. Estas pruebas debe abarcar tanto este desarrollo nuevo como los escenarios ya existentes y actualmente operativos, garantizando que no se produzcan impactos negativos. La ejecución de las pruebas y su verificación exhaustiva resulta indispensable antes de cualquier promoción a Produccion.</t>
  </si>
  <si>
    <t>Plan de Instalación</t>
  </si>
  <si>
    <t>Consideraciones Iniciales</t>
  </si>
  <si>
    <t>Dia de Instalación</t>
  </si>
  <si>
    <t>Cualquier Día</t>
  </si>
  <si>
    <t>&lt;-- (Selecciona de la lista)</t>
  </si>
  <si>
    <t>Cuando aplicar</t>
  </si>
  <si>
    <t>En cualquier momento del dia</t>
  </si>
  <si>
    <t>Otras Consideraciones</t>
  </si>
  <si>
    <t>Realizar pruebas del servicio Query Customer CL Accounts validando la estructura de respuesta y la presencia de los tags FCCODDAYS, LEGOVDDAYS y TOTALODDAYS.</t>
  </si>
  <si>
    <t>Orden de Instalación</t>
  </si>
  <si>
    <t>Nombre de Objeto</t>
  </si>
  <si>
    <t>Lugar de instalación</t>
  </si>
  <si>
    <t>Ubicación del Objeto</t>
  </si>
  <si>
    <t>Observaciones</t>
  </si>
  <si>
    <t>Base de datos</t>
  </si>
  <si>
    <t>BFCL_4-0002642504_20260507\Install\sql</t>
  </si>
  <si>
    <t>Orden de Rollback</t>
  </si>
  <si>
    <t>BFCL_4-0002642504_20260507\Rollback\sql</t>
  </si>
  <si>
    <t>BFMX Flexcube (QA y Producción) agregar etiquetas a servicio FCUBSCLService/QueryClAccounts // SR: 4-0002642504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</si>
</sst>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Oracle Sans Tab"/>
      <family val="2"/>
      <scheme val="minor"/>
    </font>
    <font>
      <b/>
      <sz val="24"/>
      <color theme="1"/>
      <name val="Oracle Sans"/>
      <family val="2"/>
    </font>
    <font>
      <i/>
      <sz val="8"/>
      <color theme="1"/>
      <name val="Oracle Sans"/>
      <family val="2"/>
    </font>
    <font>
      <sz val="11"/>
      <color theme="1"/>
      <name val="Oracle Sans"/>
      <family val="2"/>
    </font>
    <font>
      <b/>
      <sz val="11"/>
      <color theme="1"/>
      <name val="Oracle Sans"/>
      <family val="2"/>
    </font>
    <font>
      <b/>
      <sz val="10"/>
      <color rgb="FF000000"/>
      <name val="Oracle Sans"/>
      <family val="2"/>
    </font>
    <font>
      <sz val="12"/>
      <color theme="1"/>
      <name val="Oracle Sans Tab"/>
      <family val="2"/>
      <scheme val="minor"/>
    </font>
    <font>
      <sz val="14"/>
      <color theme="1"/>
      <name val="Oracle Sans Tab"/>
      <family val="2"/>
      <scheme val="minor"/>
    </font>
    <font>
      <b/>
      <sz val="14"/>
      <color theme="1"/>
      <name val="Oracle Sans"/>
      <family val="2"/>
    </font>
    <font>
      <u/>
      <sz val="11"/>
      <color theme="10"/>
      <name val="Oracle Sans Tab"/>
      <family val="2"/>
      <scheme val="minor"/>
    </font>
    <font>
      <b/>
      <sz val="11"/>
      <color theme="1"/>
      <name val="Oracle Sans Tab"/>
      <family val="2"/>
      <scheme val="minor"/>
    </font>
    <font>
      <b/>
      <sz val="14"/>
      <color theme="1"/>
      <name val="Oracle Sans Tab"/>
      <family val="2"/>
      <scheme val="minor"/>
    </font>
    <font>
      <i/>
      <sz val="11"/>
      <color theme="1"/>
      <name val="Oracle Sans Tab"/>
      <family val="2"/>
      <scheme val="minor"/>
    </font>
    <font>
      <sz val="8"/>
      <color theme="1"/>
      <name val="Oracle Sans Cd"/>
      <family val="2"/>
    </font>
    <font>
      <i/>
      <sz val="12"/>
      <color theme="1"/>
      <name val="Oracle Sans Tab"/>
      <family val="2"/>
      <scheme val="minor"/>
    </font>
    <font>
      <sz val="14"/>
      <color theme="1"/>
      <name val="Oracle Sans"/>
      <family val="2"/>
    </font>
    <font>
      <u/>
      <sz val="14"/>
      <color theme="10"/>
      <name val="Oracle Sans Tab"/>
      <family val="2"/>
      <scheme val="minor"/>
    </font>
    <font>
      <b/>
      <u/>
      <sz val="11"/>
      <color theme="1"/>
      <name val="Oracle Sans Light"/>
      <family val="2"/>
    </font>
    <font>
      <sz val="11"/>
      <color theme="1"/>
      <name val="Oracle Sans Light"/>
      <family val="2"/>
    </font>
    <font>
      <b/>
      <sz val="11"/>
      <color theme="1"/>
      <name val="Oracle Sans Light"/>
      <family val="2"/>
    </font>
    <font>
      <sz val="9"/>
      <color theme="1"/>
      <name val="Oracle Sans Tab"/>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4" tint="0.799981688894314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hair">
        <color indexed="64"/>
      </bottom>
      <diagonal/>
    </border>
    <border>
      <left/>
      <right/>
      <top/>
      <bottom style="double">
        <color indexed="64"/>
      </bottom>
      <diagonal/>
    </border>
    <border>
      <left/>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top style="hair">
        <color auto="1"/>
      </top>
      <bottom/>
      <diagonal/>
    </border>
    <border>
      <left/>
      <right/>
      <top/>
      <bottom style="hair">
        <color auto="1"/>
      </bottom>
      <diagonal/>
    </border>
    <border>
      <left style="hair">
        <color auto="1"/>
      </left>
      <right style="hair">
        <color auto="1"/>
      </right>
      <top style="hair">
        <color auto="1"/>
      </top>
      <bottom/>
      <diagonal/>
    </border>
    <border>
      <left style="hair">
        <color auto="1"/>
      </left>
      <right style="hair">
        <color auto="1"/>
      </right>
      <top style="hair">
        <color auto="1"/>
      </top>
      <bottom style="hair">
        <color auto="1"/>
      </bottom>
      <diagonal/>
    </border>
  </borders>
  <cellStyleXfs count="2">
    <xf numFmtId="0" fontId="0" fillId="0" borderId="0"/>
    <xf numFmtId="0" fontId="9" fillId="0" borderId="0"/>
  </cellStyleXfs>
  <cellXfs count="79">
    <xf numFmtId="0" fontId="0" fillId="0" borderId="0" xfId="0"/>
    <xf numFmtId="0" fontId="3" fillId="0" borderId="0" xfId="0" applyFont="1" applyAlignment="1">
      <alignment horizontal="justify" vertical="center"/>
    </xf>
    <xf numFmtId="0" fontId="3" fillId="0" borderId="0" xfId="0" applyFont="1"/>
    <xf numFmtId="0" fontId="1" fillId="0" borderId="0" xfId="0" applyFont="1"/>
    <xf numFmtId="0" fontId="4" fillId="0" borderId="0" xfId="0" applyFont="1" applyAlignment="1">
      <alignment horizontal="right"/>
    </xf>
    <xf numFmtId="0" fontId="1" fillId="0" borderId="0" xfId="0" applyFont="1" applyAlignment="1">
      <alignment vertical="center"/>
    </xf>
    <xf numFmtId="0" fontId="0" fillId="0" borderId="1" xfId="0" applyBorder="1"/>
    <xf numFmtId="0" fontId="4" fillId="0" borderId="0" xfId="0" applyFont="1"/>
    <xf numFmtId="0" fontId="4" fillId="0" borderId="0" xfId="0" applyFont="1" applyAlignment="1">
      <alignment vertical="center"/>
    </xf>
    <xf numFmtId="0" fontId="3" fillId="0" borderId="0" xfId="0" applyFont="1" applyAlignment="1">
      <alignment vertical="center" wrapText="1"/>
    </xf>
    <xf numFmtId="0" fontId="2" fillId="0" borderId="0" xfId="0" applyFont="1"/>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0" fillId="0" borderId="1" xfId="0" applyBorder="1" applyAlignment="1">
      <alignment horizontal="center" vertical="center"/>
    </xf>
    <xf numFmtId="0" fontId="10" fillId="0" borderId="8" xfId="0" applyFont="1" applyBorder="1" applyAlignment="1">
      <alignment horizontal="right" vertical="center" indent="1"/>
    </xf>
    <xf numFmtId="0" fontId="10" fillId="0" borderId="1" xfId="0" applyFont="1" applyBorder="1" applyAlignment="1">
      <alignment horizontal="right" vertical="center" indent="1"/>
    </xf>
    <xf numFmtId="0" fontId="0" fillId="0" borderId="13" xfId="0" applyBorder="1"/>
    <xf numFmtId="0" fontId="7" fillId="0" borderId="14" xfId="0" applyFont="1" applyBorder="1" applyAlignment="1">
      <alignment horizontal="left" indent="1"/>
    </xf>
    <xf numFmtId="0" fontId="0" fillId="0" borderId="14" xfId="0" applyBorder="1"/>
    <xf numFmtId="0" fontId="0" fillId="0" borderId="15" xfId="0" applyBorder="1"/>
    <xf numFmtId="0" fontId="0" fillId="0" borderId="12" xfId="0" applyBorder="1"/>
    <xf numFmtId="0" fontId="12" fillId="0" borderId="0" xfId="0" applyFont="1" applyAlignment="1">
      <alignment horizontal="right"/>
    </xf>
    <xf numFmtId="0" fontId="0" fillId="0" borderId="7" xfId="0" applyBorder="1"/>
    <xf numFmtId="0" fontId="0" fillId="0" borderId="16" xfId="0" applyBorder="1"/>
    <xf numFmtId="0" fontId="0" fillId="0" borderId="17" xfId="0" applyBorder="1" applyAlignment="1">
      <alignment horizontal="right"/>
    </xf>
    <xf numFmtId="0" fontId="0" fillId="0" borderId="17" xfId="0" applyBorder="1"/>
    <xf numFmtId="0" fontId="0" fillId="0" borderId="18" xfId="0" applyBorder="1"/>
    <xf numFmtId="0" fontId="13" fillId="0" borderId="0" xfId="0" applyFont="1"/>
    <xf numFmtId="0" fontId="14" fillId="0" borderId="0" xfId="0" applyFont="1" applyAlignment="1">
      <alignment horizontal="right"/>
    </xf>
    <xf numFmtId="0" fontId="6" fillId="0" borderId="4" xfId="0" applyFont="1" applyBorder="1"/>
    <xf numFmtId="0" fontId="6" fillId="0" borderId="6" xfId="0" applyFont="1" applyBorder="1"/>
    <xf numFmtId="14" fontId="15" fillId="0" borderId="5" xfId="0" applyNumberFormat="1" applyFont="1" applyBorder="1" applyAlignment="1">
      <alignment horizontal="left"/>
    </xf>
    <xf numFmtId="0" fontId="8" fillId="0" borderId="0" xfId="0" applyFont="1" applyAlignment="1">
      <alignment horizontal="left" vertical="center"/>
    </xf>
    <xf numFmtId="0" fontId="1" fillId="0" borderId="0" xfId="0" applyFont="1" applyAlignment="1">
      <alignment horizontal="left" vertical="center"/>
    </xf>
    <xf numFmtId="0" fontId="3" fillId="0" borderId="0" xfId="0" applyFont="1" applyAlignment="1">
      <alignment horizontal="left"/>
    </xf>
    <xf numFmtId="0" fontId="16" fillId="0" borderId="0" xfId="1" applyFont="1"/>
    <xf numFmtId="0" fontId="0" fillId="0" borderId="1" xfId="0" applyBorder="1" applyAlignment="1">
      <alignment horizontal="left" vertical="center"/>
    </xf>
    <xf numFmtId="0" fontId="18" fillId="0" borderId="0" xfId="0" applyFont="1"/>
    <xf numFmtId="0" fontId="18" fillId="0" borderId="21" xfId="0" applyFont="1" applyBorder="1"/>
    <xf numFmtId="14" fontId="18" fillId="0" borderId="0" xfId="0" applyNumberFormat="1" applyFont="1" applyAlignment="1">
      <alignment horizontal="left"/>
    </xf>
    <xf numFmtId="0" fontId="18" fillId="0" borderId="4" xfId="0" applyFont="1" applyBorder="1"/>
    <xf numFmtId="0" fontId="18" fillId="0" borderId="23" xfId="0" applyFont="1" applyBorder="1"/>
    <xf numFmtId="0" fontId="9" fillId="0" borderId="0" xfId="1"/>
    <xf numFmtId="0" fontId="0" fillId="0" borderId="0" xfId="0" applyAlignment="1">
      <alignment vertical="center"/>
    </xf>
    <xf numFmtId="0" fontId="0" fillId="0" borderId="1" xfId="0" applyBorder="1" applyAlignment="1">
      <alignment vertical="center"/>
    </xf>
    <xf numFmtId="0" fontId="8" fillId="0" borderId="0" xfId="0" applyFont="1" applyAlignment="1">
      <alignment horizontal="right" vertical="center"/>
    </xf>
    <xf numFmtId="0" fontId="3" fillId="0" borderId="0" xfId="0" applyFont="1"/>
    <xf numFmtId="0" fontId="19" fillId="0" borderId="20" xfId="0" applyFont="1" applyBorder="1" applyAlignment="1">
      <alignment horizontal="right" vertical="center"/>
    </xf>
    <xf numFmtId="0" fontId="19" fillId="0" borderId="22" xfId="0" applyFont="1" applyBorder="1" applyAlignment="1">
      <alignment horizontal="right" vertical="center"/>
    </xf>
    <xf numFmtId="0" fontId="0" fillId="0" borderId="25" xfId="0" applyBorder="1"/>
    <xf numFmtId="0" fontId="15" fillId="0" borderId="0" xfId="0" applyFont="1" applyAlignment="1">
      <alignment horizontal="right"/>
    </xf>
    <xf numFmtId="0" fontId="8" fillId="0" borderId="0" xfId="0" applyFont="1" applyAlignment="1">
      <alignment horizontal="left" vertical="center"/>
    </xf>
    <xf numFmtId="0" fontId="1" fillId="0" borderId="0" xfId="0" applyFont="1" applyAlignment="1">
      <alignment horizontal="center" vertical="center" wrapText="1"/>
    </xf>
    <xf numFmtId="0" fontId="3" fillId="0" borderId="0" xfId="0" applyFont="1" applyAlignment="1">
      <alignment horizontal="left" vertical="center" wrapText="1" indent="2"/>
    </xf>
    <xf numFmtId="0" fontId="4" fillId="0" borderId="0" xfId="0" applyFont="1" applyAlignment="1">
      <alignment horizontal="right" vertical="center"/>
    </xf>
    <xf numFmtId="0" fontId="17" fillId="0" borderId="26" xfId="0" applyFont="1" applyBorder="1" applyAlignment="1">
      <alignment horizontal="center" vertical="center"/>
    </xf>
    <xf numFmtId="0" fontId="0" fillId="0" borderId="24" xfId="0" applyBorder="1"/>
    <xf numFmtId="0" fontId="0" fillId="0" borderId="19" xfId="0" applyBorder="1"/>
    <xf numFmtId="0" fontId="20" fillId="0" borderId="1" xfId="0" applyFont="1" applyBorder="1" applyAlignment="1">
      <alignment vertical="top" wrapText="1"/>
    </xf>
    <xf numFmtId="0" fontId="0" fillId="0" borderId="2" xfId="0" applyBorder="1"/>
    <xf numFmtId="0" fontId="0" fillId="0" borderId="3" xfId="0" applyBorder="1"/>
    <xf numFmtId="0" fontId="20" fillId="0" borderId="8" xfId="0" applyFont="1" applyBorder="1" applyAlignment="1">
      <alignment vertical="top" wrapText="1"/>
    </xf>
    <xf numFmtId="0" fontId="0" fillId="0" borderId="17" xfId="0" applyBorder="1"/>
    <xf numFmtId="0" fontId="0" fillId="0" borderId="18" xfId="0" applyBorder="1"/>
    <xf numFmtId="0" fontId="11" fillId="5" borderId="9" xfId="0" applyFont="1" applyFill="1" applyBorder="1" applyAlignment="1">
      <alignment horizontal="center"/>
    </xf>
    <xf numFmtId="0" fontId="0" fillId="0" borderId="10" xfId="0" applyBorder="1"/>
    <xf numFmtId="0" fontId="0" fillId="0" borderId="11" xfId="0" applyBorder="1"/>
    <xf numFmtId="0" fontId="11" fillId="6" borderId="1" xfId="0" applyFont="1" applyFill="1" applyBorder="1" applyAlignment="1">
      <alignment horizontal="center"/>
    </xf>
    <xf numFmtId="0" fontId="11" fillId="2" borderId="1" xfId="0" applyFont="1" applyFill="1" applyBorder="1" applyAlignment="1">
      <alignment horizontal="center"/>
    </xf>
    <xf numFmtId="0" fontId="0" fillId="0" borderId="1" xfId="0" applyBorder="1" applyAlignment="1">
      <alignment horizontal="left" vertical="center"/>
    </xf>
    <xf numFmtId="0" fontId="11" fillId="5" borderId="1" xfId="0" applyFont="1" applyFill="1" applyBorder="1" applyAlignment="1">
      <alignment horizontal="center"/>
    </xf>
    <xf numFmtId="0" fontId="0" fillId="0" borderId="1" xfId="0" applyBorder="1" applyAlignment="1">
      <alignment horizontal="left" vertical="center" wrapText="1"/>
    </xf>
    <xf numFmtId="0" fontId="11" fillId="6" borderId="9" xfId="0" applyFont="1" applyFill="1" applyBorder="1" applyAlignment="1">
      <alignment horizontal="center"/>
    </xf>
    <xf numFmtId="0" fontId="0" fillId="0" borderId="27" xfId="0" applyBorder="1" applyAlignment="1">
      <alignment vertical="top" wrapText="1"/>
    </xf>
    <xf numFmtId="0" fontId="0" fillId="0" borderId="20" xfId="0" applyBorder="1"/>
    <xf numFmtId="0" fontId="0" fillId="0" borderId="21" xfId="0" applyBorder="1"/>
    <xf numFmtId="0" fontId="0" fillId="0" borderId="22" xfId="0" applyBorder="1"/>
    <xf numFmtId="0" fontId="0" fillId="0" borderId="23" xfId="0" applyBorder="1"/>
    <xf numFmtId="0" fontId="11" fillId="2" borderId="9"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15240</xdr:colOff>
      <xdr:row>0</xdr:row>
      <xdr:rowOff>0</xdr:rowOff>
    </xdr:from>
    <xdr:to>
      <xdr:col>6</xdr:col>
      <xdr:colOff>676200</xdr:colOff>
      <xdr:row>1</xdr:row>
      <xdr:rowOff>0</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5825490" y="0"/>
          <a:ext cx="1948196" cy="653143"/>
          <a:chOff x="6454140" y="99060"/>
          <a:chExt cx="2124000" cy="723900"/>
        </a:xfrm>
      </xdr:grpSpPr>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6454140" y="99060"/>
            <a:ext cx="2124000" cy="664263"/>
          </a:xfrm>
          <a:prstGeom prst="rect">
            <a:avLst/>
          </a:prstGeom>
          <a:ln>
            <a:prstDash val="solid"/>
          </a:ln>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2103120</xdr:colOff>
      <xdr:row>0</xdr:row>
      <xdr:rowOff>0</xdr:rowOff>
    </xdr:from>
    <xdr:to>
      <xdr:col>7</xdr:col>
      <xdr:colOff>2078280</xdr:colOff>
      <xdr:row>3</xdr:row>
      <xdr:rowOff>152400</xdr:rowOff>
    </xdr:to>
    <xdr:grpSp>
      <xdr:nvGrpSpPr>
        <xdr:cNvPr id="3" name="Group 2">
          <a:extLst>
            <a:ext uri="{FF2B5EF4-FFF2-40B4-BE49-F238E27FC236}">
              <a16:creationId xmlns:a16="http://schemas.microsoft.com/office/drawing/2014/main" id="{00000000-0008-0000-0100-000003000000}"/>
            </a:ext>
          </a:extLst>
        </xdr:cNvPr>
        <xdr:cNvGrpSpPr/>
      </xdr:nvGrpSpPr>
      <xdr:grpSpPr>
        <a:xfrm>
          <a:off x="7201376" y="0"/>
          <a:ext cx="1956360" cy="688181"/>
          <a:chOff x="6454140" y="99060"/>
          <a:chExt cx="2124000" cy="723900"/>
        </a:xfrm>
      </xdr:grpSpPr>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6454140" y="99060"/>
            <a:ext cx="2124000" cy="664263"/>
          </a:xfrm>
          <a:prstGeom prst="rect">
            <a:avLst/>
          </a:prstGeom>
          <a:ln>
            <a:prstDash val="solid"/>
          </a:ln>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2103120</xdr:colOff>
      <xdr:row>0</xdr:row>
      <xdr:rowOff>0</xdr:rowOff>
    </xdr:from>
    <xdr:to>
      <xdr:col>7</xdr:col>
      <xdr:colOff>2078280</xdr:colOff>
      <xdr:row>3</xdr:row>
      <xdr:rowOff>152400</xdr:rowOff>
    </xdr:to>
    <xdr:grpSp>
      <xdr:nvGrpSpPr>
        <xdr:cNvPr id="2" name="Group 1">
          <a:extLst>
            <a:ext uri="{FF2B5EF4-FFF2-40B4-BE49-F238E27FC236}">
              <a16:creationId xmlns:a16="http://schemas.microsoft.com/office/drawing/2014/main" id="{00000000-0008-0000-0200-000002000000}"/>
            </a:ext>
          </a:extLst>
        </xdr:cNvPr>
        <xdr:cNvGrpSpPr/>
      </xdr:nvGrpSpPr>
      <xdr:grpSpPr>
        <a:xfrm>
          <a:off x="7201376" y="0"/>
          <a:ext cx="1956360" cy="688181"/>
          <a:chOff x="6454140" y="99060"/>
          <a:chExt cx="2124000" cy="723900"/>
        </a:xfrm>
      </xdr:grpSpPr>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6454140" y="99060"/>
            <a:ext cx="2124000" cy="664263"/>
          </a:xfrm>
          <a:prstGeom prst="rect">
            <a:avLst/>
          </a:prstGeom>
          <a:ln>
            <a:prstDash val="solid"/>
          </a:ln>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3611880</xdr:colOff>
      <xdr:row>0</xdr:row>
      <xdr:rowOff>0</xdr:rowOff>
    </xdr:from>
    <xdr:to>
      <xdr:col>7</xdr:col>
      <xdr:colOff>668580</xdr:colOff>
      <xdr:row>3</xdr:row>
      <xdr:rowOff>152400</xdr:rowOff>
    </xdr:to>
    <xdr:grpSp>
      <xdr:nvGrpSpPr>
        <xdr:cNvPr id="2" name="Group 1">
          <a:extLst>
            <a:ext uri="{FF2B5EF4-FFF2-40B4-BE49-F238E27FC236}">
              <a16:creationId xmlns:a16="http://schemas.microsoft.com/office/drawing/2014/main" id="{00000000-0008-0000-0300-000002000000}"/>
            </a:ext>
          </a:extLst>
        </xdr:cNvPr>
        <xdr:cNvGrpSpPr/>
      </xdr:nvGrpSpPr>
      <xdr:grpSpPr>
        <a:xfrm>
          <a:off x="11350943" y="0"/>
          <a:ext cx="1678706" cy="688181"/>
          <a:chOff x="6454140" y="99060"/>
          <a:chExt cx="2154480" cy="723900"/>
        </a:xfrm>
      </xdr:grpSpPr>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6484620" y="99060"/>
            <a:ext cx="2124000" cy="664263"/>
          </a:xfrm>
          <a:prstGeom prst="rect">
            <a:avLst/>
          </a:prstGeom>
          <a:ln>
            <a:prstDash val="solid"/>
          </a:ln>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3611880</xdr:colOff>
      <xdr:row>0</xdr:row>
      <xdr:rowOff>0</xdr:rowOff>
    </xdr:from>
    <xdr:to>
      <xdr:col>7</xdr:col>
      <xdr:colOff>668580</xdr:colOff>
      <xdr:row>3</xdr:row>
      <xdr:rowOff>152400</xdr:rowOff>
    </xdr:to>
    <xdr:grpSp>
      <xdr:nvGrpSpPr>
        <xdr:cNvPr id="2" name="Group 1">
          <a:extLst>
            <a:ext uri="{FF2B5EF4-FFF2-40B4-BE49-F238E27FC236}">
              <a16:creationId xmlns:a16="http://schemas.microsoft.com/office/drawing/2014/main" id="{00000000-0008-0000-0400-000002000000}"/>
            </a:ext>
          </a:extLst>
        </xdr:cNvPr>
        <xdr:cNvGrpSpPr/>
      </xdr:nvGrpSpPr>
      <xdr:grpSpPr>
        <a:xfrm>
          <a:off x="11350943" y="0"/>
          <a:ext cx="1678706" cy="688181"/>
          <a:chOff x="6454140" y="99060"/>
          <a:chExt cx="2154480" cy="723900"/>
        </a:xfrm>
      </xdr:grpSpPr>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6484620" y="99060"/>
            <a:ext cx="2124000" cy="664263"/>
          </a:xfrm>
          <a:prstGeom prst="rect">
            <a:avLst/>
          </a:prstGeom>
          <a:ln>
            <a:prstDash val="solid"/>
          </a:ln>
        </xdr:spPr>
      </xdr:pic>
    </xdr:grpSp>
    <xdr:clientData/>
  </xdr:twoCellAnchor>
</xdr:wsDr>
</file>

<file path=xl/theme/theme1.xml><?xml version="1.0" encoding="utf-8"?>
<a:theme xmlns:a="http://schemas.openxmlformats.org/drawingml/2006/main" name="Oracle Redwood Excel 04-2020">
  <a:themeElements>
    <a:clrScheme name="Oracle Brand Accessible">
      <a:dk1>
        <a:sysClr val="windowText" lastClr="000000"/>
      </a:dk1>
      <a:lt1>
        <a:sysClr val="window" lastClr="FFFFFF"/>
      </a:lt1>
      <a:dk2>
        <a:srgbClr val="312D2A"/>
      </a:dk2>
      <a:lt2>
        <a:srgbClr val="FCFBFA"/>
      </a:lt2>
      <a:accent1>
        <a:srgbClr val="76A2A0"/>
      </a:accent1>
      <a:accent2>
        <a:srgbClr val="796087"/>
      </a:accent2>
      <a:accent3>
        <a:srgbClr val="C28897"/>
      </a:accent3>
      <a:accent4>
        <a:srgbClr val="315357"/>
      </a:accent4>
      <a:accent5>
        <a:srgbClr val="C58C52"/>
      </a:accent5>
      <a:accent6>
        <a:srgbClr val="925865"/>
      </a:accent6>
      <a:hlink>
        <a:srgbClr val="2C5967"/>
      </a:hlink>
      <a:folHlink>
        <a:srgbClr val="2C5967"/>
      </a:folHlink>
    </a:clrScheme>
    <a:fontScheme name="Oracle TAB">
      <a:majorFont>
        <a:latin typeface="Georgia"/>
        <a:ea typeface=""/>
        <a:cs typeface=""/>
      </a:majorFont>
      <a:minorFont>
        <a:latin typeface="Oracle Sans Tab"/>
        <a:ea typeface=""/>
        <a:cs typeface=""/>
      </a:minorFont>
    </a:fontScheme>
    <a:fmtScheme name="Flat">
      <a:fillStyleLst>
        <a:solidFill>
          <a:schemeClr val="phClr"/>
        </a:solidFill>
        <a:solidFill>
          <a:schemeClr val="phClr">
            <a:tint val="50000"/>
          </a:schemeClr>
        </a:solidFill>
        <a:solidFill>
          <a:schemeClr val="phClr">
            <a:shade val="65000"/>
          </a:schemeClr>
        </a:solidFill>
      </a:fillStyleLst>
      <a:lnStyleLst>
        <a:ln w="3175" cap="flat" cmpd="sng" algn="ctr">
          <a:solidFill>
            <a:schemeClr val="phClr">
              <a:shade val="65000"/>
            </a:schemeClr>
          </a:solidFill>
          <a:prstDash val="solid"/>
        </a:ln>
        <a:ln w="3175" cap="flat" cmpd="sng" algn="ctr">
          <a:solidFill>
            <a:schemeClr val="phClr"/>
          </a:solidFill>
          <a:prstDash val="solid"/>
        </a:ln>
        <a:ln w="0" cap="flat" cmpd="sng" algn="ctr">
          <a:noFill/>
        </a:ln>
      </a:lnStyleLst>
      <a:effectStyleLst>
        <a:effectStyle>
          <a:effectLst>
            <a:blur/>
          </a:effectLst>
        </a:effectStyle>
        <a:effectStyle>
          <a:effectLst>
            <a:blur/>
          </a:effectLst>
        </a:effectStyle>
        <a:effectStyle>
          <a:effectLst>
            <a:fillOverlay blend="darken">
              <a:solidFill>
                <a:schemeClr val="phClr">
                  <a:shade val="30000"/>
                </a:schemeClr>
              </a:solidFill>
            </a:fillOverlay>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custClrLst>
    <a:custClr name="Ocean: Dark fill_White text">
      <a:srgbClr val="2C5967"/>
    </a:custClr>
    <a:custClr name="Surf: Light fill_Black text">
      <a:srgbClr val="41817E"/>
    </a:custClr>
    <a:custClr name="Sand: Light fill_Black text">
      <a:srgbClr val="E5DBBE"/>
    </a:custClr>
    <a:custClr name="Pebble: Light fill_Black text">
      <a:srgbClr val="8B8580"/>
    </a:custClr>
    <a:custClr name="Granite: Dark fill_White text">
      <a:srgbClr val="67605B"/>
    </a:custClr>
    <a:custClr name="Oracle Red: Dark fill_White text">
      <a:srgbClr val="C74634"/>
    </a:custClr>
    <a:custClr name="Highlight/hyperlink dark theme">
      <a:srgbClr val="F0CC71"/>
    </a:custClr>
    <a:custClr name="Highlight/numbered list light theme">
      <a:srgbClr val="AE562C"/>
    </a:custClr>
    <a:custClr name="Highlight/numbered list light theme">
      <a:srgbClr val="00688C"/>
    </a:custClr>
    <a:custClr name="Numbered list dark theme">
      <a:srgbClr val="759C6C"/>
    </a:custClr>
    <a:custClr name="Neutral 30: Light fill_Black text">
      <a:srgbClr val="F1EFED"/>
    </a:custClr>
    <a:custClr name="Pebble 30: Light fill_Black text">
      <a:srgbClr val="E7F0FD"/>
    </a:custClr>
    <a:custClr name="Slate 30: Light fill_Black text">
      <a:srgbClr val="E7F2F2"/>
    </a:custClr>
    <a:custClr name="Pine 30: Light fill_Black text">
      <a:srgbClr val="E0F5E7"/>
    </a:custClr>
    <a:custClr name="Teal 30: Light fill_Black text">
      <a:srgbClr val="E8F1F0"/>
    </a:custClr>
    <a:custClr name="Ocean 30: Light fill_Black text">
      <a:srgbClr val="E7F2F5"/>
    </a:custClr>
    <a:custClr name="Lilac 30: Light fill_Black text">
      <a:srgbClr val="EBEFFE"/>
    </a:custClr>
    <a:custClr name="Plum 30: Light fill_Black text">
      <a:srgbClr val="F5ECFB"/>
    </a:custClr>
    <a:custClr name="Rose 30: Light fill_Black text">
      <a:srgbClr val="FBECEF"/>
    </a:custClr>
    <a:custClr name="Sky 30: Light fill_Black text">
      <a:srgbClr val="E4F1F7"/>
    </a:custClr>
    <a:custClr name="Neutral 70: Light fill_Black text">
      <a:srgbClr val="AEA8A2"/>
    </a:custClr>
    <a:custClr name="Pebble 70: Light fill_Black text">
      <a:srgbClr val="A2AAB6"/>
    </a:custClr>
    <a:custClr name="Slate 70: Light fill_Black text">
      <a:srgbClr val="99ADAE"/>
    </a:custClr>
    <a:custClr name="Pine 70: Light fill_Black text">
      <a:srgbClr val="86B596"/>
    </a:custClr>
    <a:custClr name="Teal: Light fill_Black text 70">
      <a:srgbClr val="89B2B0"/>
    </a:custClr>
    <a:custClr name="Ocean 70: Light fill_Black text">
      <a:srgbClr val="81B2C3"/>
    </a:custClr>
    <a:custClr name="Lilac 70: Light fill_Black text">
      <a:srgbClr val="A0A9C5"/>
    </a:custClr>
    <a:custClr name="Plum 70: Light fill_Black text">
      <a:srgbClr val="B7A1C4"/>
    </a:custClr>
    <a:custClr name="Rose 70: Light fill_Black text">
      <a:srgbClr val="CE9BA7"/>
    </a:custClr>
    <a:custClr name="Sky 70: Light fill_Black text">
      <a:srgbClr val="79B1C6"/>
    </a:custClr>
    <a:custClr name="Neutral 140: Dark fill_White text">
      <a:srgbClr val="514C47"/>
    </a:custClr>
    <a:custClr name="Pebble 140: Dark fill_White text">
      <a:srgbClr val="494D53"/>
    </a:custClr>
    <a:custClr name="Slate 140: Dark fill_White text">
      <a:srgbClr val="464F4F"/>
    </a:custClr>
    <a:custClr name="Pine 140: Dark fill_White text">
      <a:srgbClr val="33553C"/>
    </a:custClr>
    <a:custClr name="Teal 140: Dark fill_White text">
      <a:srgbClr val="315357"/>
    </a:custClr>
    <a:custClr name="Ocean 140: Dark fill_White text">
      <a:srgbClr val="2C5266"/>
    </a:custClr>
    <a:custClr name="Lilac 140: Dark fill_White text">
      <a:srgbClr val="464C68"/>
    </a:custClr>
    <a:custClr name="Plum 140: Dark fill_White text">
      <a:srgbClr val="594564"/>
    </a:custClr>
    <a:custClr name="Rose 140: Dark fill_White text">
      <a:srgbClr val="6C3F49"/>
    </a:custClr>
    <a:custClr name="Sky 140: Dark fill_White text">
      <a:srgbClr val="04536F"/>
    </a:custClr>
    <a:custClr name="Neutral 170: Dark fill_White text">
      <a:srgbClr val="312D2A"/>
    </a:custClr>
    <a:custClr name="Pebble 170: Dark fill_White text">
      <a:srgbClr val="2B2E32"/>
    </a:custClr>
    <a:custClr name="Slate 170: Dark fill_White text">
      <a:srgbClr val="2A2F2F"/>
    </a:custClr>
    <a:custClr name="Pine 170: Dark fill_White text">
      <a:srgbClr val="1E3224"/>
    </a:custClr>
    <a:custClr name="Teal 170: Dark fill_White text">
      <a:srgbClr val="1E3133"/>
    </a:custClr>
    <a:custClr name="Ocean 170: Dark fill_White text">
      <a:srgbClr val="1A2F3F"/>
    </a:custClr>
    <a:custClr name="Lilac 170: Dark fill_White text">
      <a:srgbClr val="2A2D3F"/>
    </a:custClr>
    <a:custClr name="Plum 170: Dark fill_White text">
      <a:srgbClr val="36293C"/>
    </a:custClr>
    <a:custClr name="Rose 170: Dark fill_White text">
      <a:srgbClr val="41242B"/>
    </a:custClr>
    <a:custClr name="Sky 170: Dark fill_White text">
      <a:srgbClr val="053242"/>
    </a:custClr>
  </a:custClr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adarsh.kumar@oracle.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33"/>
  <sheetViews>
    <sheetView showGridLines="0" showRowColHeaders="0" zoomScale="70" zoomScaleNormal="70" workbookViewId="0">
      <selection activeCell="B12" sqref="B12:G12"/>
    </sheetView>
  </sheetViews>
  <sheetFormatPr defaultColWidth="8.625" defaultRowHeight="15" customHeight="1"/>
  <cols>
    <col min="1" max="1" width="3.125" style="2" customWidth="1"/>
    <col min="2" max="2" width="13.5" style="2" customWidth="1"/>
    <col min="3" max="3" width="8.625" style="2" customWidth="1"/>
    <col min="4" max="4" width="50.875" style="2" customWidth="1"/>
    <col min="5" max="7" width="8.625" style="2" customWidth="1"/>
    <col min="8" max="8" width="3.125" style="2" customWidth="1"/>
    <col min="9" max="9" width="8.625" style="2" customWidth="1"/>
    <col min="10" max="16384" width="8.625" style="2"/>
  </cols>
  <sheetData>
    <row r="1" spans="2:11" ht="52.35" customHeight="1">
      <c r="C1" s="5"/>
      <c r="D1" s="5"/>
      <c r="E1" s="10"/>
      <c r="F1" s="10"/>
      <c r="G1" s="10"/>
      <c r="H1" s="5"/>
    </row>
    <row r="2" spans="2:11" ht="52.35" customHeight="1">
      <c r="B2" s="5" t="s">
        <v>0</v>
      </c>
      <c r="C2" s="5"/>
      <c r="D2" s="5"/>
      <c r="E2" s="10"/>
      <c r="F2" s="10"/>
      <c r="G2" s="10"/>
      <c r="H2" s="5"/>
    </row>
    <row r="3" spans="2:11" ht="15.75" customHeight="1"/>
    <row r="4" spans="2:11" ht="72" customHeight="1">
      <c r="B4" s="52" t="s">
        <v>1</v>
      </c>
      <c r="C4" s="46"/>
      <c r="D4" s="46"/>
      <c r="E4" s="46"/>
      <c r="F4" s="46"/>
      <c r="G4" s="46"/>
      <c r="H4" s="3"/>
      <c r="I4" s="3"/>
      <c r="J4" s="3"/>
      <c r="K4" s="3"/>
    </row>
    <row r="5" spans="2:11" ht="15.75" customHeight="1"/>
    <row r="6" spans="2:11" ht="30" customHeight="1">
      <c r="B6" s="45" t="s">
        <v>2</v>
      </c>
      <c r="C6" s="46"/>
      <c r="D6" s="32" t="s">
        <v>3</v>
      </c>
      <c r="E6" s="33"/>
      <c r="F6" s="33"/>
      <c r="G6" s="33"/>
    </row>
    <row r="7" spans="2:11" ht="30" customHeight="1">
      <c r="B7" s="45" t="s">
        <v>4</v>
      </c>
      <c r="C7" s="46"/>
      <c r="D7" s="51" t="s">
        <v>62</v>
      </c>
      <c r="E7" s="46"/>
      <c r="F7" s="46"/>
      <c r="G7" s="46"/>
    </row>
    <row r="8" spans="2:11" ht="19.5" customHeight="1">
      <c r="B8" s="45" t="s">
        <v>5</v>
      </c>
      <c r="C8" s="46"/>
      <c r="D8" s="32" t="s">
        <v>6</v>
      </c>
      <c r="E8" s="32"/>
      <c r="F8" s="32"/>
      <c r="G8" s="32"/>
    </row>
    <row r="9" spans="2:11" ht="19.5" customHeight="1">
      <c r="B9" s="50" t="s">
        <v>7</v>
      </c>
      <c r="C9" s="46"/>
      <c r="D9" s="42" t="s">
        <v>8</v>
      </c>
      <c r="E9" s="35"/>
      <c r="F9" s="35"/>
      <c r="G9" s="35"/>
    </row>
    <row r="10" spans="2:11" ht="20.25" customHeight="1" thickBot="1">
      <c r="B10" s="50" t="s">
        <v>9</v>
      </c>
      <c r="C10" s="46"/>
      <c r="D10" s="31">
        <v>46149</v>
      </c>
      <c r="E10" s="34"/>
      <c r="F10" s="34"/>
      <c r="G10" s="34"/>
    </row>
    <row r="11" spans="2:11" ht="16.5" customHeight="1" thickTop="1">
      <c r="B11" s="1"/>
    </row>
    <row r="12" spans="2:11" ht="217.7" customHeight="1">
      <c r="B12" s="53" t="s">
        <v>10</v>
      </c>
      <c r="C12" s="46"/>
      <c r="D12" s="46"/>
      <c r="E12" s="46"/>
      <c r="F12" s="46"/>
      <c r="G12" s="46"/>
      <c r="H12" s="9"/>
      <c r="I12" s="9"/>
      <c r="J12" s="9"/>
      <c r="K12" s="9"/>
    </row>
    <row r="13" spans="2:11" ht="15.75" customHeight="1">
      <c r="B13" s="54" t="s">
        <v>11</v>
      </c>
      <c r="C13" s="46"/>
      <c r="D13" s="46"/>
      <c r="E13" s="46"/>
      <c r="F13" s="46"/>
      <c r="G13" s="46"/>
      <c r="H13" s="8"/>
      <c r="I13" s="8"/>
      <c r="J13" s="8"/>
      <c r="K13" s="8"/>
    </row>
    <row r="15" spans="2:11" ht="15.75" customHeight="1">
      <c r="B15" s="55" t="s">
        <v>12</v>
      </c>
      <c r="C15" s="56"/>
      <c r="D15" s="56"/>
      <c r="E15" s="56"/>
      <c r="F15" s="56"/>
      <c r="G15" s="57"/>
    </row>
    <row r="16" spans="2:11" ht="15.75" customHeight="1">
      <c r="B16" s="47" t="s">
        <v>13</v>
      </c>
      <c r="C16" s="46"/>
      <c r="D16" s="37" t="s">
        <v>8</v>
      </c>
      <c r="E16" s="37"/>
      <c r="F16" s="37"/>
      <c r="G16" s="38"/>
    </row>
    <row r="17" spans="2:7" ht="15.75" customHeight="1">
      <c r="B17" s="47" t="s">
        <v>14</v>
      </c>
      <c r="C17" s="46"/>
      <c r="D17" s="37" t="s">
        <v>15</v>
      </c>
      <c r="E17" s="37"/>
      <c r="F17" s="37"/>
      <c r="G17" s="38"/>
    </row>
    <row r="18" spans="2:7" ht="15.75" customHeight="1">
      <c r="B18" s="47" t="s">
        <v>16</v>
      </c>
      <c r="C18" s="46"/>
      <c r="D18" s="39">
        <f ca="1">TODAY()</f>
        <v>46153</v>
      </c>
      <c r="E18" s="37"/>
      <c r="F18" s="37"/>
      <c r="G18" s="38"/>
    </row>
    <row r="19" spans="2:7" ht="15.75" customHeight="1">
      <c r="B19" s="48" t="s">
        <v>17</v>
      </c>
      <c r="C19" s="49"/>
      <c r="D19" s="40" t="s">
        <v>18</v>
      </c>
      <c r="E19" s="40"/>
      <c r="F19" s="40"/>
      <c r="G19" s="41"/>
    </row>
    <row r="20" spans="2:7" ht="15.75" customHeight="1"/>
    <row r="21" spans="2:7" ht="15.75" customHeight="1"/>
    <row r="31" spans="2:7" ht="15.75" customHeight="1"/>
    <row r="32" spans="2:7" ht="15.75" customHeight="1"/>
    <row r="33" ht="15.75" customHeight="1"/>
  </sheetData>
  <mergeCells count="14">
    <mergeCell ref="D7:G7"/>
    <mergeCell ref="B4:G4"/>
    <mergeCell ref="B12:G12"/>
    <mergeCell ref="B13:G13"/>
    <mergeCell ref="B17:C17"/>
    <mergeCell ref="B9:C9"/>
    <mergeCell ref="B8:C8"/>
    <mergeCell ref="B15:G15"/>
    <mergeCell ref="B6:C6"/>
    <mergeCell ref="B16:C16"/>
    <mergeCell ref="B7:C7"/>
    <mergeCell ref="B19:C19"/>
    <mergeCell ref="B10:C10"/>
    <mergeCell ref="B18:C18"/>
  </mergeCells>
  <hyperlinks>
    <hyperlink ref="D9" r:id="rId1" xr:uid="{00000000-0004-0000-0000-000000000000}"/>
  </hyperlinks>
  <pageMargins left="0.7" right="0.7" top="0.75" bottom="0.75" header="0.3" footer="0.3"/>
  <headerFooter>
    <oddHeader>&amp;L&amp;"Calibri"&amp;1 &amp;K000000 Confidential - Oracle Restricted#_x000D_</oddHeader>
    <oddFooter>&amp;L&amp;"Calibri"&amp;10 &amp;K000000_x000D_# Confidential - Oracle Restricted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I31"/>
  <sheetViews>
    <sheetView showGridLines="0" topLeftCell="A9" zoomScale="80" zoomScaleNormal="80" workbookViewId="0">
      <selection activeCell="D11" sqref="D11:H11"/>
    </sheetView>
  </sheetViews>
  <sheetFormatPr defaultColWidth="0" defaultRowHeight="14.25"/>
  <cols>
    <col min="1" max="1" width="3.125" customWidth="1"/>
    <col min="2" max="2" width="4.625" bestFit="1" customWidth="1"/>
    <col min="3" max="4" width="25.625" customWidth="1"/>
    <col min="5" max="5" width="5.125" customWidth="1"/>
    <col min="6" max="6" width="4.625" bestFit="1" customWidth="1"/>
    <col min="7" max="8" width="25.625" customWidth="1"/>
    <col min="9" max="9" width="3.125" customWidth="1"/>
    <col min="10" max="10" width="8.625" hidden="1" customWidth="1"/>
    <col min="11" max="16384" width="8.625" hidden="1"/>
  </cols>
  <sheetData>
    <row r="4" spans="2:8">
      <c r="H4" s="10"/>
    </row>
    <row r="5" spans="2:8" ht="15">
      <c r="C5" s="4" t="s">
        <v>2</v>
      </c>
      <c r="D5" t="str">
        <f>SR!D6</f>
        <v>4-0002642504</v>
      </c>
    </row>
    <row r="6" spans="2:8" ht="15">
      <c r="C6" s="4" t="s">
        <v>4</v>
      </c>
      <c r="D6" s="2" t="str">
        <f>SR!D7</f>
        <v>BFMX Flexcube (QA y Producción) agregar etiquetas a servicio FCUBSCLService/QueryClAccounts // SR: 4-0002642504</v>
      </c>
      <c r="E6" s="7"/>
      <c r="F6" s="7"/>
      <c r="G6" s="7"/>
    </row>
    <row r="7" spans="2:8" ht="15">
      <c r="C7" s="4" t="s">
        <v>5</v>
      </c>
      <c r="D7" s="2" t="str">
        <f>SR!D8</f>
        <v>Chile</v>
      </c>
      <c r="E7" s="7"/>
      <c r="F7" s="7"/>
      <c r="G7" s="7"/>
    </row>
    <row r="8" spans="2:8" ht="15">
      <c r="C8" s="4"/>
      <c r="D8" s="4"/>
      <c r="E8" s="4"/>
      <c r="F8" s="4"/>
      <c r="G8" s="4"/>
    </row>
    <row r="9" spans="2:8" ht="20.25" customHeight="1" thickBot="1">
      <c r="C9" s="64" t="s">
        <v>19</v>
      </c>
      <c r="D9" s="65"/>
      <c r="E9" s="65"/>
      <c r="F9" s="65"/>
      <c r="G9" s="65"/>
      <c r="H9" s="66"/>
    </row>
    <row r="10" spans="2:8" ht="45" customHeight="1" thickTop="1">
      <c r="C10" s="14" t="s">
        <v>20</v>
      </c>
      <c r="D10" s="61" t="s">
        <v>21</v>
      </c>
      <c r="E10" s="62"/>
      <c r="F10" s="62"/>
      <c r="G10" s="62"/>
      <c r="H10" s="63"/>
    </row>
    <row r="11" spans="2:8" ht="45" customHeight="1">
      <c r="C11" s="15" t="s">
        <v>22</v>
      </c>
      <c r="D11" s="58" t="s">
        <v>23</v>
      </c>
      <c r="E11" s="59"/>
      <c r="F11" s="59"/>
      <c r="G11" s="59"/>
      <c r="H11" s="60"/>
    </row>
    <row r="12" spans="2:8" ht="45" customHeight="1">
      <c r="C12" s="15" t="s">
        <v>24</v>
      </c>
      <c r="D12" s="58" t="s">
        <v>25</v>
      </c>
      <c r="E12" s="59"/>
      <c r="F12" s="59"/>
      <c r="G12" s="59"/>
      <c r="H12" s="60"/>
    </row>
    <row r="13" spans="2:8" ht="45" customHeight="1">
      <c r="C13" s="15" t="s">
        <v>26</v>
      </c>
      <c r="D13" s="58" t="s">
        <v>27</v>
      </c>
      <c r="E13" s="59"/>
      <c r="F13" s="59"/>
      <c r="G13" s="59"/>
      <c r="H13" s="60"/>
    </row>
    <row r="15" spans="2:8" ht="19.5" customHeight="1">
      <c r="B15" s="67" t="s">
        <v>28</v>
      </c>
      <c r="C15" s="59"/>
      <c r="D15" s="60"/>
      <c r="F15" s="68" t="s">
        <v>29</v>
      </c>
      <c r="G15" s="59"/>
      <c r="H15" s="60"/>
    </row>
    <row r="16" spans="2:8">
      <c r="B16" s="11" t="s">
        <v>30</v>
      </c>
      <c r="C16" s="11" t="s">
        <v>31</v>
      </c>
      <c r="D16" s="11" t="s">
        <v>32</v>
      </c>
      <c r="F16" s="12" t="s">
        <v>30</v>
      </c>
      <c r="G16" s="12" t="s">
        <v>31</v>
      </c>
      <c r="H16" s="12" t="s">
        <v>32</v>
      </c>
    </row>
    <row r="17" spans="2:8">
      <c r="B17" s="13">
        <v>1</v>
      </c>
      <c r="C17" s="6" t="s">
        <v>33</v>
      </c>
      <c r="D17" s="6" t="s">
        <v>34</v>
      </c>
      <c r="F17" s="13">
        <v>1</v>
      </c>
      <c r="G17" s="6" t="s">
        <v>33</v>
      </c>
      <c r="H17" s="6" t="s">
        <v>34</v>
      </c>
    </row>
    <row r="18" spans="2:8">
      <c r="B18" s="13">
        <f t="shared" ref="B18:B31" si="0">B17+1</f>
        <v>2</v>
      </c>
      <c r="C18" s="6"/>
      <c r="D18" s="6"/>
      <c r="F18" s="13">
        <f t="shared" ref="F18:F31" si="1">F17+1</f>
        <v>2</v>
      </c>
      <c r="G18" s="6"/>
      <c r="H18" s="6"/>
    </row>
    <row r="19" spans="2:8">
      <c r="B19" s="13">
        <f t="shared" si="0"/>
        <v>3</v>
      </c>
      <c r="C19" s="6"/>
      <c r="D19" s="6"/>
      <c r="F19" s="13">
        <f t="shared" si="1"/>
        <v>3</v>
      </c>
      <c r="G19" s="6"/>
      <c r="H19" s="6"/>
    </row>
    <row r="20" spans="2:8">
      <c r="B20" s="13">
        <f t="shared" si="0"/>
        <v>4</v>
      </c>
      <c r="C20" s="6"/>
      <c r="D20" s="6"/>
      <c r="F20" s="13">
        <f t="shared" si="1"/>
        <v>4</v>
      </c>
      <c r="G20" s="6"/>
      <c r="H20" s="6"/>
    </row>
    <row r="21" spans="2:8">
      <c r="B21" s="13">
        <f t="shared" si="0"/>
        <v>5</v>
      </c>
      <c r="C21" s="6"/>
      <c r="D21" s="6"/>
      <c r="F21" s="13">
        <f t="shared" si="1"/>
        <v>5</v>
      </c>
      <c r="G21" s="6"/>
      <c r="H21" s="6"/>
    </row>
    <row r="22" spans="2:8">
      <c r="B22" s="13">
        <f t="shared" si="0"/>
        <v>6</v>
      </c>
      <c r="C22" s="6"/>
      <c r="D22" s="6"/>
      <c r="F22" s="13">
        <f t="shared" si="1"/>
        <v>6</v>
      </c>
      <c r="G22" s="6"/>
      <c r="H22" s="6"/>
    </row>
    <row r="23" spans="2:8">
      <c r="B23" s="13">
        <f t="shared" si="0"/>
        <v>7</v>
      </c>
      <c r="C23" s="6"/>
      <c r="D23" s="6"/>
      <c r="F23" s="13">
        <f t="shared" si="1"/>
        <v>7</v>
      </c>
      <c r="G23" s="6"/>
      <c r="H23" s="6"/>
    </row>
    <row r="24" spans="2:8">
      <c r="B24" s="13">
        <f t="shared" si="0"/>
        <v>8</v>
      </c>
      <c r="C24" s="6"/>
      <c r="D24" s="6"/>
      <c r="F24" s="13">
        <f t="shared" si="1"/>
        <v>8</v>
      </c>
      <c r="G24" s="6"/>
      <c r="H24" s="6"/>
    </row>
    <row r="25" spans="2:8">
      <c r="B25" s="13">
        <f t="shared" si="0"/>
        <v>9</v>
      </c>
      <c r="C25" s="6"/>
      <c r="D25" s="6"/>
      <c r="F25" s="13">
        <f t="shared" si="1"/>
        <v>9</v>
      </c>
      <c r="G25" s="6"/>
      <c r="H25" s="6"/>
    </row>
    <row r="26" spans="2:8">
      <c r="B26" s="13">
        <f t="shared" si="0"/>
        <v>10</v>
      </c>
      <c r="C26" s="6"/>
      <c r="D26" s="6"/>
      <c r="F26" s="13">
        <f t="shared" si="1"/>
        <v>10</v>
      </c>
      <c r="G26" s="6"/>
      <c r="H26" s="6"/>
    </row>
    <row r="27" spans="2:8">
      <c r="B27" s="13">
        <f t="shared" si="0"/>
        <v>11</v>
      </c>
      <c r="C27" s="6"/>
      <c r="D27" s="6"/>
      <c r="F27" s="13">
        <f t="shared" si="1"/>
        <v>11</v>
      </c>
      <c r="G27" s="6"/>
      <c r="H27" s="6"/>
    </row>
    <row r="28" spans="2:8">
      <c r="B28" s="13">
        <f t="shared" si="0"/>
        <v>12</v>
      </c>
      <c r="C28" s="6"/>
      <c r="D28" s="6"/>
      <c r="F28" s="13">
        <f t="shared" si="1"/>
        <v>12</v>
      </c>
      <c r="G28" s="6"/>
      <c r="H28" s="6"/>
    </row>
    <row r="29" spans="2:8">
      <c r="B29" s="13">
        <f t="shared" si="0"/>
        <v>13</v>
      </c>
      <c r="C29" s="6"/>
      <c r="D29" s="6"/>
      <c r="F29" s="13">
        <f t="shared" si="1"/>
        <v>13</v>
      </c>
      <c r="G29" s="6"/>
      <c r="H29" s="6"/>
    </row>
    <row r="30" spans="2:8">
      <c r="B30" s="13">
        <f t="shared" si="0"/>
        <v>14</v>
      </c>
      <c r="C30" s="6"/>
      <c r="D30" s="6"/>
      <c r="F30" s="13">
        <f t="shared" si="1"/>
        <v>14</v>
      </c>
      <c r="G30" s="6"/>
      <c r="H30" s="6"/>
    </row>
    <row r="31" spans="2:8">
      <c r="B31" s="13">
        <f t="shared" si="0"/>
        <v>15</v>
      </c>
      <c r="C31" s="6"/>
      <c r="D31" s="6"/>
      <c r="F31" s="13">
        <f t="shared" si="1"/>
        <v>15</v>
      </c>
      <c r="G31" s="6"/>
      <c r="H31" s="6"/>
    </row>
  </sheetData>
  <mergeCells count="7">
    <mergeCell ref="B15:D15"/>
    <mergeCell ref="F15:H15"/>
    <mergeCell ref="D12:H12"/>
    <mergeCell ref="D10:H10"/>
    <mergeCell ref="C9:H9"/>
    <mergeCell ref="D13:H13"/>
    <mergeCell ref="D11:H11"/>
  </mergeCell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4:I29"/>
  <sheetViews>
    <sheetView showGridLines="0" topLeftCell="A7" zoomScale="80" zoomScaleNormal="80" workbookViewId="0">
      <selection activeCell="C11" sqref="C11:H18"/>
    </sheetView>
  </sheetViews>
  <sheetFormatPr defaultColWidth="0" defaultRowHeight="14.25"/>
  <cols>
    <col min="1" max="1" width="3.125" customWidth="1"/>
    <col min="2" max="2" width="4.625" style="43" bestFit="1" customWidth="1"/>
    <col min="3" max="4" width="25.625" customWidth="1"/>
    <col min="5" max="5" width="5.125" customWidth="1"/>
    <col min="6" max="6" width="4.625" bestFit="1" customWidth="1"/>
    <col min="7" max="8" width="25.625" customWidth="1"/>
    <col min="9" max="9" width="3.125" customWidth="1"/>
    <col min="10" max="10" width="8.625" hidden="1" customWidth="1"/>
    <col min="11" max="16384" width="8.625" hidden="1"/>
  </cols>
  <sheetData>
    <row r="4" spans="2:8">
      <c r="H4" s="10"/>
    </row>
    <row r="5" spans="2:8" ht="15">
      <c r="C5" s="4" t="s">
        <v>2</v>
      </c>
      <c r="D5" t="str">
        <f>SR!D6</f>
        <v>4-0002642504</v>
      </c>
    </row>
    <row r="6" spans="2:8" ht="15">
      <c r="C6" s="4" t="s">
        <v>4</v>
      </c>
      <c r="D6" s="2" t="str">
        <f>SR!D7</f>
        <v>BFMX Flexcube (QA y Producción) agregar etiquetas a servicio FCUBSCLService/QueryClAccounts // SR: 4-0002642504</v>
      </c>
      <c r="E6" s="7"/>
      <c r="F6" s="7"/>
      <c r="G6" s="7"/>
    </row>
    <row r="7" spans="2:8" ht="15">
      <c r="C7" s="4" t="s">
        <v>5</v>
      </c>
      <c r="D7" s="2" t="str">
        <f>SR!D8</f>
        <v>Chile</v>
      </c>
      <c r="E7" s="7"/>
      <c r="F7" s="7"/>
      <c r="G7" s="7"/>
    </row>
    <row r="8" spans="2:8" ht="15">
      <c r="C8" s="4"/>
      <c r="D8" s="4"/>
      <c r="E8" s="4"/>
      <c r="F8" s="4"/>
      <c r="G8" s="4"/>
    </row>
    <row r="9" spans="2:8" ht="19.5" customHeight="1">
      <c r="B9" s="70" t="s">
        <v>35</v>
      </c>
      <c r="C9" s="59"/>
      <c r="D9" s="59"/>
      <c r="E9" s="59"/>
      <c r="F9" s="59"/>
      <c r="G9" s="59"/>
      <c r="H9" s="60"/>
    </row>
    <row r="10" spans="2:8" ht="5.0999999999999996" customHeight="1"/>
    <row r="11" spans="2:8">
      <c r="B11" s="44">
        <v>1</v>
      </c>
      <c r="C11" s="69" t="s">
        <v>36</v>
      </c>
      <c r="D11" s="59"/>
      <c r="E11" s="59"/>
      <c r="F11" s="59"/>
      <c r="G11" s="59"/>
      <c r="H11" s="60"/>
    </row>
    <row r="12" spans="2:8">
      <c r="B12" s="44">
        <v>2</v>
      </c>
      <c r="C12" s="69" t="s">
        <v>37</v>
      </c>
      <c r="D12" s="59"/>
      <c r="E12" s="59"/>
      <c r="F12" s="59"/>
      <c r="G12" s="59"/>
      <c r="H12" s="60"/>
    </row>
    <row r="13" spans="2:8">
      <c r="B13" s="44">
        <v>3</v>
      </c>
      <c r="C13" s="71" t="s">
        <v>38</v>
      </c>
      <c r="D13" s="59"/>
      <c r="E13" s="59"/>
      <c r="F13" s="59"/>
      <c r="G13" s="59"/>
      <c r="H13" s="60"/>
    </row>
    <row r="14" spans="2:8">
      <c r="B14" s="44">
        <v>4</v>
      </c>
      <c r="C14" s="69" t="s">
        <v>39</v>
      </c>
      <c r="D14" s="59"/>
      <c r="E14" s="59"/>
      <c r="F14" s="59"/>
      <c r="G14" s="59"/>
      <c r="H14" s="60"/>
    </row>
    <row r="15" spans="2:8">
      <c r="B15" s="44">
        <v>5</v>
      </c>
      <c r="C15" s="69" t="s">
        <v>40</v>
      </c>
      <c r="D15" s="59"/>
      <c r="E15" s="59"/>
      <c r="F15" s="59"/>
      <c r="G15" s="59"/>
      <c r="H15" s="60"/>
    </row>
    <row r="16" spans="2:8">
      <c r="B16" s="44">
        <v>6</v>
      </c>
      <c r="C16" s="69" t="s">
        <v>41</v>
      </c>
      <c r="D16" s="59"/>
      <c r="E16" s="59"/>
      <c r="F16" s="59"/>
      <c r="G16" s="59"/>
      <c r="H16" s="60"/>
    </row>
    <row r="17" spans="2:8">
      <c r="B17" s="44">
        <v>7</v>
      </c>
      <c r="C17" s="69" t="s">
        <v>42</v>
      </c>
      <c r="D17" s="59"/>
      <c r="E17" s="59"/>
      <c r="F17" s="59"/>
      <c r="G17" s="59"/>
      <c r="H17" s="60"/>
    </row>
    <row r="18" spans="2:8" ht="76.5" customHeight="1">
      <c r="B18" s="44">
        <v>8</v>
      </c>
      <c r="C18" s="71" t="s">
        <v>43</v>
      </c>
      <c r="D18" s="59"/>
      <c r="E18" s="59"/>
      <c r="F18" s="59"/>
      <c r="G18" s="59"/>
      <c r="H18" s="60"/>
    </row>
    <row r="19" spans="2:8">
      <c r="B19" s="44">
        <v>9</v>
      </c>
      <c r="C19" s="69"/>
      <c r="D19" s="59"/>
      <c r="E19" s="59"/>
      <c r="F19" s="59"/>
      <c r="G19" s="59"/>
      <c r="H19" s="60"/>
    </row>
    <row r="20" spans="2:8">
      <c r="B20" s="44">
        <v>10</v>
      </c>
      <c r="C20" s="69"/>
      <c r="D20" s="59"/>
      <c r="E20" s="59"/>
      <c r="F20" s="59"/>
      <c r="G20" s="59"/>
      <c r="H20" s="60"/>
    </row>
    <row r="21" spans="2:8">
      <c r="B21" s="44">
        <v>11</v>
      </c>
      <c r="C21" s="69"/>
      <c r="D21" s="59"/>
      <c r="E21" s="59"/>
      <c r="F21" s="59"/>
      <c r="G21" s="59"/>
      <c r="H21" s="60"/>
    </row>
    <row r="22" spans="2:8">
      <c r="B22" s="44">
        <v>12</v>
      </c>
      <c r="C22" s="69"/>
      <c r="D22" s="59"/>
      <c r="E22" s="59"/>
      <c r="F22" s="59"/>
      <c r="G22" s="59"/>
      <c r="H22" s="60"/>
    </row>
    <row r="23" spans="2:8">
      <c r="B23" s="44">
        <v>13</v>
      </c>
      <c r="C23" s="69"/>
      <c r="D23" s="59"/>
      <c r="E23" s="59"/>
      <c r="F23" s="59"/>
      <c r="G23" s="59"/>
      <c r="H23" s="60"/>
    </row>
    <row r="24" spans="2:8">
      <c r="B24" s="44">
        <v>14</v>
      </c>
      <c r="C24" s="69"/>
      <c r="D24" s="59"/>
      <c r="E24" s="59"/>
      <c r="F24" s="59"/>
      <c r="G24" s="59"/>
      <c r="H24" s="60"/>
    </row>
    <row r="25" spans="2:8">
      <c r="B25" s="44">
        <v>15</v>
      </c>
      <c r="C25" s="69"/>
      <c r="D25" s="59"/>
      <c r="E25" s="59"/>
      <c r="F25" s="59"/>
      <c r="G25" s="59"/>
      <c r="H25" s="60"/>
    </row>
    <row r="26" spans="2:8">
      <c r="B26" s="44">
        <v>16</v>
      </c>
      <c r="C26" s="69"/>
      <c r="D26" s="59"/>
      <c r="E26" s="59"/>
      <c r="F26" s="59"/>
      <c r="G26" s="59"/>
      <c r="H26" s="60"/>
    </row>
    <row r="27" spans="2:8">
      <c r="B27" s="44">
        <v>17</v>
      </c>
      <c r="C27" s="69"/>
      <c r="D27" s="59"/>
      <c r="E27" s="59"/>
      <c r="F27" s="59"/>
      <c r="G27" s="59"/>
      <c r="H27" s="60"/>
    </row>
    <row r="28" spans="2:8">
      <c r="B28" s="44">
        <v>18</v>
      </c>
      <c r="C28" s="69"/>
      <c r="D28" s="59"/>
      <c r="E28" s="59"/>
      <c r="F28" s="59"/>
      <c r="G28" s="59"/>
      <c r="H28" s="60"/>
    </row>
    <row r="29" spans="2:8">
      <c r="B29" s="44">
        <v>19</v>
      </c>
      <c r="C29" s="69"/>
      <c r="D29" s="59"/>
      <c r="E29" s="59"/>
      <c r="F29" s="59"/>
      <c r="G29" s="59"/>
      <c r="H29" s="60"/>
    </row>
  </sheetData>
  <mergeCells count="20">
    <mergeCell ref="C29:H29"/>
    <mergeCell ref="C20:H20"/>
    <mergeCell ref="C27:H27"/>
    <mergeCell ref="C23:H23"/>
    <mergeCell ref="C17:H17"/>
    <mergeCell ref="C19:H19"/>
    <mergeCell ref="C28:H28"/>
    <mergeCell ref="C18:H18"/>
    <mergeCell ref="C24:H24"/>
    <mergeCell ref="C26:H26"/>
    <mergeCell ref="C25:H25"/>
    <mergeCell ref="C16:H16"/>
    <mergeCell ref="B9:H9"/>
    <mergeCell ref="C22:H22"/>
    <mergeCell ref="C12:H12"/>
    <mergeCell ref="C21:H21"/>
    <mergeCell ref="C11:H11"/>
    <mergeCell ref="C13:H13"/>
    <mergeCell ref="C15:H15"/>
    <mergeCell ref="C14:H14"/>
  </mergeCell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4:M38"/>
  <sheetViews>
    <sheetView showGridLines="0" topLeftCell="A9" zoomScale="80" zoomScaleNormal="80" workbookViewId="0">
      <selection activeCell="E24" sqref="E24"/>
    </sheetView>
  </sheetViews>
  <sheetFormatPr defaultColWidth="0" defaultRowHeight="14.25"/>
  <cols>
    <col min="1" max="1" width="3.125" customWidth="1"/>
    <col min="2" max="2" width="4.625" customWidth="1"/>
    <col min="3" max="4" width="25.625" customWidth="1"/>
    <col min="5" max="5" width="42.5" customWidth="1"/>
    <col min="6" max="6" width="52.125" customWidth="1"/>
    <col min="7" max="8" width="8.625" customWidth="1"/>
    <col min="9" max="9" width="3.125" customWidth="1"/>
    <col min="10" max="13" width="0" hidden="1" customWidth="1"/>
    <col min="14" max="14" width="8.625" hidden="1" customWidth="1"/>
    <col min="15" max="16384" width="8.625" hidden="1"/>
  </cols>
  <sheetData>
    <row r="4" spans="2:9">
      <c r="I4" s="10"/>
    </row>
    <row r="5" spans="2:9" ht="15">
      <c r="C5" s="4" t="s">
        <v>2</v>
      </c>
      <c r="D5" t="str">
        <f>SR!D6</f>
        <v>4-0002642504</v>
      </c>
    </row>
    <row r="6" spans="2:9" ht="15">
      <c r="C6" s="4" t="s">
        <v>4</v>
      </c>
      <c r="D6" s="2" t="str">
        <f>SR!D7</f>
        <v>BFMX Flexcube (QA y Producción) agregar etiquetas a servicio FCUBSCLService/QueryClAccounts // SR: 4-0002642504</v>
      </c>
      <c r="F6" s="7"/>
      <c r="G6" s="7"/>
      <c r="H6" s="7"/>
    </row>
    <row r="7" spans="2:9" ht="15">
      <c r="C7" s="4" t="s">
        <v>5</v>
      </c>
      <c r="D7" s="2" t="str">
        <f>SR!D8</f>
        <v>Chile</v>
      </c>
      <c r="E7" s="7"/>
      <c r="F7" s="7"/>
      <c r="G7" s="7"/>
    </row>
    <row r="9" spans="2:9" ht="20.25" customHeight="1" thickBot="1">
      <c r="B9" s="72" t="s">
        <v>44</v>
      </c>
      <c r="C9" s="65"/>
      <c r="D9" s="65"/>
      <c r="E9" s="65"/>
      <c r="F9" s="66"/>
    </row>
    <row r="10" spans="2:9" ht="5.0999999999999996" customHeight="1" thickTop="1"/>
    <row r="11" spans="2:9" ht="19.5" customHeight="1">
      <c r="B11" s="16"/>
      <c r="C11" s="17" t="s">
        <v>45</v>
      </c>
      <c r="D11" s="18"/>
      <c r="E11" s="18"/>
      <c r="F11" s="19"/>
    </row>
    <row r="12" spans="2:9" ht="16.5" customHeight="1">
      <c r="B12" s="20"/>
      <c r="C12" s="28" t="s">
        <v>46</v>
      </c>
      <c r="D12" s="29" t="s">
        <v>47</v>
      </c>
      <c r="E12" s="27" t="s">
        <v>48</v>
      </c>
      <c r="F12" s="22"/>
    </row>
    <row r="13" spans="2:9" ht="16.5" customHeight="1">
      <c r="B13" s="20"/>
      <c r="C13" s="28" t="s">
        <v>49</v>
      </c>
      <c r="D13" s="30" t="s">
        <v>50</v>
      </c>
      <c r="E13" s="27" t="s">
        <v>48</v>
      </c>
      <c r="F13" s="22"/>
    </row>
    <row r="14" spans="2:9" ht="9.9499999999999993" customHeight="1">
      <c r="B14" s="20"/>
      <c r="F14" s="22"/>
    </row>
    <row r="15" spans="2:9">
      <c r="B15" s="20"/>
      <c r="C15" s="21" t="s">
        <v>51</v>
      </c>
      <c r="D15" s="73" t="s">
        <v>52</v>
      </c>
      <c r="E15" s="57"/>
      <c r="F15" s="22"/>
    </row>
    <row r="16" spans="2:9">
      <c r="B16" s="20"/>
      <c r="C16" s="21"/>
      <c r="D16" s="74"/>
      <c r="E16" s="75"/>
      <c r="F16" s="22"/>
    </row>
    <row r="17" spans="2:6">
      <c r="B17" s="20"/>
      <c r="C17" s="21"/>
      <c r="D17" s="76"/>
      <c r="E17" s="77"/>
      <c r="F17" s="22"/>
    </row>
    <row r="18" spans="2:6">
      <c r="B18" s="23"/>
      <c r="C18" s="24"/>
      <c r="D18" s="25"/>
      <c r="E18" s="25"/>
      <c r="F18" s="26"/>
    </row>
    <row r="20" spans="2:6" ht="20.25" customHeight="1" thickBot="1">
      <c r="B20" s="72" t="s">
        <v>53</v>
      </c>
      <c r="C20" s="65"/>
      <c r="D20" s="65"/>
      <c r="E20" s="65"/>
      <c r="F20" s="66"/>
    </row>
    <row r="21" spans="2:6" ht="5.0999999999999996" customHeight="1" thickTop="1"/>
    <row r="22" spans="2:6">
      <c r="B22" s="11" t="s">
        <v>30</v>
      </c>
      <c r="C22" s="11" t="s">
        <v>54</v>
      </c>
      <c r="D22" s="11" t="s">
        <v>55</v>
      </c>
      <c r="E22" s="11" t="s">
        <v>56</v>
      </c>
      <c r="F22" s="11" t="s">
        <v>57</v>
      </c>
    </row>
    <row r="23" spans="2:6">
      <c r="B23" s="13">
        <v>1</v>
      </c>
      <c r="C23" s="6" t="s">
        <v>33</v>
      </c>
      <c r="D23" s="36" t="s">
        <v>58</v>
      </c>
      <c r="E23" s="36" t="s">
        <v>59</v>
      </c>
      <c r="F23" s="36"/>
    </row>
    <row r="24" spans="2:6">
      <c r="B24" s="13">
        <v>2</v>
      </c>
      <c r="C24" s="6"/>
      <c r="D24" s="36"/>
      <c r="E24" s="36"/>
      <c r="F24" s="36"/>
    </row>
    <row r="25" spans="2:6">
      <c r="B25" s="13">
        <v>3</v>
      </c>
      <c r="C25" s="36"/>
      <c r="D25" s="36"/>
      <c r="E25" s="36"/>
      <c r="F25" s="36"/>
    </row>
    <row r="26" spans="2:6">
      <c r="B26" s="13">
        <v>4</v>
      </c>
      <c r="C26" s="36"/>
      <c r="D26" s="36"/>
      <c r="E26" s="36"/>
      <c r="F26" s="36"/>
    </row>
    <row r="27" spans="2:6">
      <c r="B27" s="13">
        <v>5</v>
      </c>
      <c r="C27" s="36"/>
      <c r="D27" s="36"/>
      <c r="E27" s="36"/>
      <c r="F27" s="36"/>
    </row>
    <row r="28" spans="2:6">
      <c r="B28" s="13">
        <v>6</v>
      </c>
      <c r="C28" s="36"/>
      <c r="D28" s="36"/>
      <c r="E28" s="36"/>
      <c r="F28" s="36"/>
    </row>
    <row r="29" spans="2:6">
      <c r="B29" s="13">
        <v>7</v>
      </c>
      <c r="C29" s="36"/>
      <c r="D29" s="36"/>
      <c r="E29" s="36"/>
      <c r="F29" s="36"/>
    </row>
    <row r="30" spans="2:6">
      <c r="B30" s="13">
        <v>8</v>
      </c>
      <c r="C30" s="36"/>
      <c r="D30" s="36"/>
      <c r="E30" s="36"/>
      <c r="F30" s="36"/>
    </row>
    <row r="31" spans="2:6">
      <c r="B31" s="13">
        <v>9</v>
      </c>
      <c r="C31" s="36"/>
      <c r="D31" s="36"/>
      <c r="E31" s="36"/>
      <c r="F31" s="36"/>
    </row>
    <row r="32" spans="2:6">
      <c r="B32" s="13">
        <v>10</v>
      </c>
      <c r="C32" s="36"/>
      <c r="D32" s="36"/>
      <c r="E32" s="36"/>
      <c r="F32" s="36"/>
    </row>
    <row r="33" spans="2:6">
      <c r="B33" s="13">
        <v>11</v>
      </c>
      <c r="C33" s="36"/>
      <c r="D33" s="36"/>
      <c r="E33" s="36"/>
      <c r="F33" s="36"/>
    </row>
    <row r="34" spans="2:6">
      <c r="B34" s="13">
        <v>12</v>
      </c>
      <c r="C34" s="36"/>
      <c r="D34" s="36"/>
      <c r="E34" s="36"/>
      <c r="F34" s="36"/>
    </row>
    <row r="35" spans="2:6">
      <c r="B35" s="13">
        <v>13</v>
      </c>
      <c r="C35" s="36"/>
      <c r="D35" s="36"/>
      <c r="E35" s="36"/>
      <c r="F35" s="36"/>
    </row>
    <row r="36" spans="2:6">
      <c r="B36" s="13">
        <v>14</v>
      </c>
      <c r="C36" s="36"/>
      <c r="D36" s="36"/>
      <c r="E36" s="36"/>
      <c r="F36" s="36"/>
    </row>
    <row r="37" spans="2:6">
      <c r="B37" s="13">
        <v>15</v>
      </c>
      <c r="C37" s="36"/>
      <c r="D37" s="36"/>
      <c r="E37" s="36"/>
      <c r="F37" s="36"/>
    </row>
    <row r="38" spans="2:6">
      <c r="B38" s="13">
        <v>16</v>
      </c>
      <c r="C38" s="36"/>
      <c r="D38" s="36"/>
      <c r="E38" s="36"/>
      <c r="F38" s="36"/>
    </row>
  </sheetData>
  <mergeCells count="3">
    <mergeCell ref="B20:F20"/>
    <mergeCell ref="B9:F9"/>
    <mergeCell ref="D15:E17"/>
  </mergeCells>
  <dataValidations count="2">
    <dataValidation type="list" showInputMessage="1" showErrorMessage="1" sqref="D12" xr:uid="{00000000-0002-0000-0300-000000000000}">
      <formula1>"Cualquier Día, Día Habil, Fin de semana"</formula1>
    </dataValidation>
    <dataValidation type="list" showInputMessage="1" showErrorMessage="1" sqref="D13" xr:uid="{00000000-0002-0000-0300-000001000000}">
      <formula1>"En cualquier momento del dia, Entre EOD y BOD, Despues BOD Batch, "</formula1>
    </dataValidation>
  </dataValidations>
  <pageMargins left="0.7" right="0.7" top="0.75" bottom="0.75" header="0.3" footer="0.3"/>
  <headerFooter>
    <oddHeader>&amp;L&amp;"Calibri"&amp;1 &amp;K000000 Confidential - Oracle Restricted#_x000D_</oddHeader>
    <oddFooter>&amp;L&amp;"Calibri"&amp;10 &amp;K000000_x000D_# Confidential - Oracle Restricted</oddFooter>
  </headerFooter>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4:M27"/>
  <sheetViews>
    <sheetView showGridLines="0" tabSelected="1" zoomScale="80" zoomScaleNormal="80" workbookViewId="0">
      <selection activeCell="F18" sqref="F18"/>
    </sheetView>
  </sheetViews>
  <sheetFormatPr defaultColWidth="0" defaultRowHeight="14.25"/>
  <cols>
    <col min="1" max="1" width="3.125" customWidth="1"/>
    <col min="2" max="2" width="4.625" customWidth="1"/>
    <col min="3" max="4" width="25.625" customWidth="1"/>
    <col min="5" max="5" width="42.5" customWidth="1"/>
    <col min="6" max="6" width="52.125" customWidth="1"/>
    <col min="7" max="8" width="8.625" customWidth="1"/>
    <col min="9" max="9" width="3.125" customWidth="1"/>
    <col min="10" max="13" width="0" hidden="1" customWidth="1"/>
    <col min="14" max="14" width="8.625" hidden="1" customWidth="1"/>
    <col min="15" max="16384" width="8.625" hidden="1"/>
  </cols>
  <sheetData>
    <row r="4" spans="2:9">
      <c r="I4" s="10"/>
    </row>
    <row r="5" spans="2:9" ht="15">
      <c r="C5" s="4" t="s">
        <v>2</v>
      </c>
      <c r="D5" t="str">
        <f>SR!D6</f>
        <v>4-0002642504</v>
      </c>
    </row>
    <row r="6" spans="2:9" ht="15">
      <c r="C6" s="4" t="s">
        <v>4</v>
      </c>
      <c r="D6" s="2" t="str">
        <f>SR!D7</f>
        <v>BFMX Flexcube (QA y Producción) agregar etiquetas a servicio FCUBSCLService/QueryClAccounts // SR: 4-0002642504</v>
      </c>
      <c r="F6" s="7"/>
      <c r="G6" s="7"/>
      <c r="H6" s="7"/>
    </row>
    <row r="7" spans="2:9" ht="15">
      <c r="C7" s="4" t="s">
        <v>5</v>
      </c>
      <c r="D7" s="2" t="str">
        <f>SR!D8</f>
        <v>Chile</v>
      </c>
      <c r="E7" s="7"/>
      <c r="F7" s="7"/>
      <c r="G7" s="7"/>
    </row>
    <row r="9" spans="2:9" ht="20.25" customHeight="1" thickBot="1">
      <c r="B9" s="78" t="s">
        <v>60</v>
      </c>
      <c r="C9" s="65"/>
      <c r="D9" s="65"/>
      <c r="E9" s="65"/>
      <c r="F9" s="66"/>
    </row>
    <row r="10" spans="2:9" ht="5.0999999999999996" customHeight="1" thickTop="1"/>
    <row r="11" spans="2:9">
      <c r="B11" s="12" t="s">
        <v>30</v>
      </c>
      <c r="C11" s="12" t="s">
        <v>54</v>
      </c>
      <c r="D11" s="12" t="s">
        <v>55</v>
      </c>
      <c r="E11" s="12" t="s">
        <v>56</v>
      </c>
      <c r="F11" s="12" t="s">
        <v>57</v>
      </c>
    </row>
    <row r="12" spans="2:9">
      <c r="B12" s="13">
        <v>1</v>
      </c>
      <c r="C12" s="6" t="s">
        <v>33</v>
      </c>
      <c r="D12" s="36" t="s">
        <v>58</v>
      </c>
      <c r="E12" s="36" t="s">
        <v>61</v>
      </c>
      <c r="F12" s="36"/>
    </row>
    <row r="13" spans="2:9">
      <c r="B13" s="13">
        <v>2</v>
      </c>
      <c r="C13" s="6"/>
      <c r="D13" s="36"/>
      <c r="E13" s="36"/>
      <c r="F13" s="36"/>
    </row>
    <row r="14" spans="2:9">
      <c r="B14" s="13">
        <v>3</v>
      </c>
      <c r="C14" s="36"/>
      <c r="D14" s="36"/>
      <c r="E14" s="36"/>
      <c r="F14" s="36"/>
    </row>
    <row r="15" spans="2:9">
      <c r="B15" s="13">
        <v>4</v>
      </c>
      <c r="C15" s="36"/>
      <c r="D15" s="36"/>
      <c r="E15" s="36"/>
      <c r="F15" s="36"/>
    </row>
    <row r="16" spans="2:9">
      <c r="B16" s="13">
        <v>5</v>
      </c>
      <c r="C16" s="36"/>
      <c r="D16" s="36"/>
      <c r="E16" s="36"/>
      <c r="F16" s="36"/>
    </row>
    <row r="17" spans="2:6">
      <c r="B17" s="13">
        <v>6</v>
      </c>
      <c r="C17" s="36"/>
      <c r="D17" s="36"/>
      <c r="E17" s="36"/>
      <c r="F17" s="36"/>
    </row>
    <row r="18" spans="2:6">
      <c r="B18" s="13">
        <v>7</v>
      </c>
      <c r="C18" s="36"/>
      <c r="D18" s="36"/>
      <c r="E18" s="36"/>
      <c r="F18" s="36"/>
    </row>
    <row r="19" spans="2:6">
      <c r="B19" s="13">
        <v>8</v>
      </c>
      <c r="C19" s="36"/>
      <c r="D19" s="36"/>
      <c r="E19" s="36"/>
      <c r="F19" s="36"/>
    </row>
    <row r="20" spans="2:6">
      <c r="B20" s="13">
        <v>9</v>
      </c>
      <c r="C20" s="36"/>
      <c r="D20" s="36"/>
      <c r="E20" s="36"/>
      <c r="F20" s="36"/>
    </row>
    <row r="21" spans="2:6">
      <c r="B21" s="13">
        <v>10</v>
      </c>
      <c r="C21" s="36"/>
      <c r="D21" s="36"/>
      <c r="E21" s="36"/>
      <c r="F21" s="36"/>
    </row>
    <row r="22" spans="2:6">
      <c r="B22" s="13">
        <v>11</v>
      </c>
      <c r="C22" s="36"/>
      <c r="D22" s="36"/>
      <c r="E22" s="36"/>
      <c r="F22" s="36"/>
    </row>
    <row r="23" spans="2:6">
      <c r="B23" s="13">
        <v>12</v>
      </c>
      <c r="C23" s="36"/>
      <c r="D23" s="36"/>
      <c r="E23" s="36"/>
      <c r="F23" s="36"/>
    </row>
    <row r="24" spans="2:6">
      <c r="B24" s="13">
        <v>13</v>
      </c>
      <c r="C24" s="36"/>
      <c r="D24" s="36"/>
      <c r="E24" s="36"/>
      <c r="F24" s="36"/>
    </row>
    <row r="25" spans="2:6">
      <c r="B25" s="13">
        <v>14</v>
      </c>
      <c r="C25" s="36"/>
      <c r="D25" s="36"/>
      <c r="E25" s="36"/>
      <c r="F25" s="36"/>
    </row>
    <row r="26" spans="2:6">
      <c r="B26" s="13">
        <v>15</v>
      </c>
      <c r="C26" s="36"/>
      <c r="D26" s="36"/>
      <c r="E26" s="36"/>
      <c r="F26" s="36"/>
    </row>
    <row r="27" spans="2:6">
      <c r="B27" s="13">
        <v>16</v>
      </c>
      <c r="C27" s="36"/>
      <c r="D27" s="36"/>
      <c r="E27" s="36"/>
      <c r="F27" s="36"/>
    </row>
  </sheetData>
  <mergeCells count="1">
    <mergeCell ref="B9:F9"/>
  </mergeCells>
  <pageMargins left="0.7" right="0.7" top="0.75" bottom="0.75" header="0.3" footer="0.3"/>
  <headerFooter>
    <oddHeader>&amp;L&amp;"Calibri"&amp;1 &amp;K000000 Confidential - Oracle Restricted#_x000D_</oddHeader>
    <oddFooter>&amp;L&amp;"Calibri"&amp;10 &amp;K000000_x000D_# Confidential - Oracle Restricted</oddFooter>
  </headerFooter>
  <drawing r:id="rId1"/>
</worksheet>
</file>

<file path=docMetadata/LabelInfo.xml><?xml version="1.0" encoding="utf-8"?>
<clbl:labelList xmlns:clbl="http://schemas.microsoft.com/office/2020/mipLabelMetadata">
  <clbl:label id="{56665055-977f-4acd-9884-1bec8e5ad200}" enabled="1" method="Standard" siteId="{4e2c6054-71cb-48f1-bd6c-3a9705aca71b}"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SR</vt:lpstr>
      <vt:lpstr>1_Detalles</vt:lpstr>
      <vt:lpstr>2_Precauciones</vt:lpstr>
      <vt:lpstr>3_Instalacion</vt:lpstr>
      <vt:lpstr>4_Rollback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Scarlett J Hajek Contreras</dc:creator>
  <cp:lastModifiedBy>Diego Pavez Verdi</cp:lastModifiedBy>
  <dcterms:created xsi:type="dcterms:W3CDTF">2024-10-10T12:54:46Z</dcterms:created>
  <dcterms:modified xsi:type="dcterms:W3CDTF">2026-05-11T21:14:15Z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6665055-977f-4acd-9884-1bec8e5ad200_Enabled">
    <vt:lpwstr>true</vt:lpwstr>
  </property>
  <property fmtid="{D5CDD505-2E9C-101B-9397-08002B2CF9AE}" pid="3" name="MSIP_Label_56665055-977f-4acd-9884-1bec8e5ad200_SetDate">
    <vt:lpwstr>2025-04-08T20:11:07Z</vt:lpwstr>
  </property>
  <property fmtid="{D5CDD505-2E9C-101B-9397-08002B2CF9AE}" pid="4" name="MSIP_Label_56665055-977f-4acd-9884-1bec8e5ad200_Method">
    <vt:lpwstr>Standard</vt:lpwstr>
  </property>
  <property fmtid="{D5CDD505-2E9C-101B-9397-08002B2CF9AE}" pid="5" name="MSIP_Label_56665055-977f-4acd-9884-1bec8e5ad200_Name">
    <vt:lpwstr>Anyone ( Unrestricted )</vt:lpwstr>
  </property>
  <property fmtid="{D5CDD505-2E9C-101B-9397-08002B2CF9AE}" pid="6" name="MSIP_Label_56665055-977f-4acd-9884-1bec8e5ad200_SiteId">
    <vt:lpwstr>4e2c6054-71cb-48f1-bd6c-3a9705aca71b</vt:lpwstr>
  </property>
  <property fmtid="{D5CDD505-2E9C-101B-9397-08002B2CF9AE}" pid="7" name="MSIP_Label_56665055-977f-4acd-9884-1bec8e5ad200_ActionId">
    <vt:lpwstr>450aabf5-9f3c-4508-84fe-7a65f16ef9b8</vt:lpwstr>
  </property>
  <property fmtid="{D5CDD505-2E9C-101B-9397-08002B2CF9AE}" pid="8" name="MSIP_Label_56665055-977f-4acd-9884-1bec8e5ad200_ContentBits">
    <vt:lpwstr>3</vt:lpwstr>
  </property>
</Properties>
</file>