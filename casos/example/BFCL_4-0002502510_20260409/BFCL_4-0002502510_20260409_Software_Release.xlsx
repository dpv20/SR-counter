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Falabella\work\Queryaccmove_Software_fix\FIX\CHILE\"/>
    </mc:Choice>
  </mc:AlternateContent>
  <xr:revisionPtr revIDLastSave="0" documentId="13_ncr:1_{3672F241-FDEA-40EB-800A-C3D21846A55F}" xr6:coauthVersionLast="47" xr6:coauthVersionMax="47" xr10:uidLastSave="{00000000-0000-0000-0000-000000000000}"/>
  <bookViews>
    <workbookView xWindow="-120" yWindow="-120" windowWidth="30960" windowHeight="16800" xr2:uid="{6910CBDE-2142-495C-AD39-3F57C93CF2D0}"/>
  </bookViews>
  <sheets>
    <sheet name="SR" sheetId="8" r:id="rId1"/>
    <sheet name="1_Detalles" sheetId="2" r:id="rId2"/>
    <sheet name="2_Precauciones" sheetId="6" r:id="rId3"/>
    <sheet name="3_Instalacion" sheetId="3" r:id="rId4"/>
    <sheet name="4_Rollback"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7" l="1"/>
  <c r="D6" i="7"/>
  <c r="D5" i="7"/>
  <c r="D7" i="3"/>
  <c r="D6" i="3"/>
  <c r="D5" i="3"/>
  <c r="D7" i="6"/>
  <c r="D6" i="6"/>
  <c r="D5" i="6"/>
  <c r="D7" i="2"/>
  <c r="D6" i="2"/>
  <c r="D5" i="2"/>
  <c r="D18" i="8"/>
  <c r="F18" i="2"/>
  <c r="F19" i="2" s="1"/>
  <c r="F20" i="2" s="1"/>
  <c r="F21" i="2" s="1"/>
  <c r="F22" i="2" s="1"/>
  <c r="F23" i="2" s="1"/>
  <c r="F24" i="2" s="1"/>
  <c r="F25" i="2" s="1"/>
  <c r="F26" i="2" s="1"/>
  <c r="F27" i="2" s="1"/>
  <c r="F28" i="2" s="1"/>
  <c r="F29" i="2" s="1"/>
  <c r="F30" i="2" s="1"/>
  <c r="F31" i="2" s="1"/>
  <c r="B18" i="2"/>
  <c r="B19" i="2" s="1"/>
  <c r="B20" i="2" s="1"/>
  <c r="B21" i="2" s="1"/>
  <c r="B22" i="2" s="1"/>
  <c r="B23" i="2" s="1"/>
  <c r="B24" i="2" s="1"/>
  <c r="B25" i="2" s="1"/>
  <c r="B26" i="2" s="1"/>
  <c r="B27" i="2" s="1"/>
  <c r="B28" i="2" s="1"/>
  <c r="B29" i="2" s="1"/>
  <c r="B30" i="2" s="1"/>
  <c r="B3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Scarlett</author>
  </authors>
  <commentList>
    <comment ref="C12" authorId="0" shapeId="0" xr:uid="{27274E8F-9025-408C-98A8-46892DF5B682}">
      <text>
        <r>
          <rPr>
            <b/>
            <sz val="9"/>
            <color indexed="81"/>
            <rFont val="Tahoma"/>
            <family val="2"/>
          </rPr>
          <t>Indicate recommended day to install</t>
        </r>
        <r>
          <rPr>
            <sz val="9"/>
            <color indexed="81"/>
            <rFont val="Tahoma"/>
            <family val="2"/>
          </rPr>
          <t xml:space="preserve">
</t>
        </r>
      </text>
    </comment>
    <comment ref="C13" authorId="0" shapeId="0" xr:uid="{11061080-E46D-42E9-9ECB-638077E2DA13}">
      <text>
        <r>
          <rPr>
            <b/>
            <sz val="9"/>
            <color indexed="81"/>
            <rFont val="Tahoma"/>
            <family val="2"/>
          </rPr>
          <t>When should be the first execution?</t>
        </r>
      </text>
    </comment>
  </commentList>
</comments>
</file>

<file path=xl/sharedStrings.xml><?xml version="1.0" encoding="utf-8"?>
<sst xmlns="http://schemas.openxmlformats.org/spreadsheetml/2006/main" count="91" uniqueCount="63">
  <si>
    <t>FLEXCUBE CORPORATE 11.3</t>
  </si>
  <si>
    <t>COPYRIGHT © 2024 Oracle Financial Services Software Limited</t>
  </si>
  <si>
    <t>All rights reserved.  No part of this work may be reproduced, stored in a retrieval system, adopted or transmitted in any form or by any means, electronic, mechanical, photographic, graphic, optic recording or otherwise, translated in any language or computer language, without the prior written permission of Oracle Financial Services Software Limited.
Due care has been taken to make this Specifications and Installation document as accurate as possible.  However, Oracle Financial Services Software Limited makes no representation or warranties with respect to the contents hereof and shall not be responsible for any loss or damage caused to the user by the direct or indirect use of this Specifications and Installation document.  Furthermore, Oracle Financial Services Software Limited reserves the right to alter, modify or otherwise change in any manner the content hereof, without obligation of Oracle Financial Services Software Limited to notify any person of such revision or changes.
All company and product names are trademarks of the respective companies with which they are associated.</t>
  </si>
  <si>
    <t>No.</t>
  </si>
  <si>
    <t>Document Control Versions</t>
  </si>
  <si>
    <t>Specifications and Installation Document
Managed Services</t>
  </si>
  <si>
    <t>Plan de Instalación</t>
  </si>
  <si>
    <t>Consideraciones Iniciales</t>
  </si>
  <si>
    <t>Cuando aplicar</t>
  </si>
  <si>
    <t>Dia de Instalación</t>
  </si>
  <si>
    <t>Otras Consideraciones</t>
  </si>
  <si>
    <t>&lt;-- (Selecciona de la lista)</t>
  </si>
  <si>
    <t>Orden de Instalación</t>
  </si>
  <si>
    <t>Nombre de Objeto</t>
  </si>
  <si>
    <t>Ubicación del Objeto</t>
  </si>
  <si>
    <t>Observaciones</t>
  </si>
  <si>
    <t>SR</t>
  </si>
  <si>
    <t>SR Descripción</t>
  </si>
  <si>
    <t>País</t>
  </si>
  <si>
    <t>Persona de Contacto</t>
  </si>
  <si>
    <t>Fecha de entrega</t>
  </si>
  <si>
    <t>Creado por</t>
  </si>
  <si>
    <t>Revisado por</t>
  </si>
  <si>
    <t>Ultima modificación</t>
  </si>
  <si>
    <t>Versión</t>
  </si>
  <si>
    <t>Problema Reportado</t>
  </si>
  <si>
    <t>Analisis</t>
  </si>
  <si>
    <t>Causa Raiz</t>
  </si>
  <si>
    <t>Impacto</t>
  </si>
  <si>
    <t>Descripción del Problema</t>
  </si>
  <si>
    <t>Objetos a Instalar</t>
  </si>
  <si>
    <t>Nombre</t>
  </si>
  <si>
    <t>Tipo</t>
  </si>
  <si>
    <t>Objetos a Desinstalar</t>
  </si>
  <si>
    <t>Orden de Rollback</t>
  </si>
  <si>
    <t>Lugar de instalación</t>
  </si>
  <si>
    <t>Antes de instalar, realizar respaldo de unidades desde el ambiente respectivo</t>
  </si>
  <si>
    <t>En toda creacion de tablas se debe conceder acceso a la tabla.</t>
  </si>
  <si>
    <r>
      <rPr>
        <b/>
        <i/>
        <u/>
        <sz val="11"/>
        <color theme="1"/>
        <rFont val="Oracle Sans Tab"/>
        <family val="2"/>
        <scheme val="minor"/>
      </rPr>
      <t>Realizar pruebas en ambiente UAT antes de instalar</t>
    </r>
    <r>
      <rPr>
        <sz val="11"/>
        <color theme="1"/>
        <rFont val="Oracle Sans Tab"/>
        <family val="2"/>
        <scheme val="minor"/>
      </rPr>
      <t>, con la finalidad de validar el funcionamiento previo antes de la instalación.</t>
    </r>
  </si>
  <si>
    <r>
      <rPr>
        <b/>
        <i/>
        <u/>
        <sz val="11"/>
        <color theme="1"/>
        <rFont val="Oracle Sans Tab"/>
        <family val="2"/>
        <scheme val="minor"/>
      </rPr>
      <t>Realizar pruebas en ambiente UAT despues de instalar</t>
    </r>
    <r>
      <rPr>
        <sz val="11"/>
        <color theme="1"/>
        <rFont val="Oracle Sans Tab"/>
        <family val="2"/>
        <scheme val="minor"/>
      </rPr>
      <t xml:space="preserve">, para validar el funcionamiento posterior a instalación, </t>
    </r>
    <r>
      <rPr>
        <b/>
        <sz val="11"/>
        <color theme="1"/>
        <rFont val="Oracle Sans Tab"/>
        <family val="2"/>
        <scheme val="minor"/>
      </rPr>
      <t>estas pruebas deben ser exitosas.</t>
    </r>
  </si>
  <si>
    <r>
      <t xml:space="preserve">Se debe proveer al </t>
    </r>
    <r>
      <rPr>
        <b/>
        <i/>
        <u/>
        <sz val="11"/>
        <color theme="1"/>
        <rFont val="Oracle Sans Tab"/>
        <family val="2"/>
        <scheme val="minor"/>
      </rPr>
      <t>Equipo de N2 (nivel2_oraclesoporte@falabella.onmicrosoft.com)</t>
    </r>
    <r>
      <rPr>
        <sz val="11"/>
        <color theme="1"/>
        <rFont val="Oracle Sans Tab"/>
        <family val="2"/>
        <scheme val="minor"/>
      </rPr>
      <t xml:space="preserve"> de los log de ejecución en producción para su validación.</t>
    </r>
  </si>
  <si>
    <r>
      <t xml:space="preserve">En caso de cualquier error duante la ejecucion contactar de inmediato al </t>
    </r>
    <r>
      <rPr>
        <b/>
        <i/>
        <u/>
        <sz val="11"/>
        <color theme="1"/>
        <rFont val="Oracle Sans Tab"/>
        <family val="2"/>
        <scheme val="minor"/>
      </rPr>
      <t>Equipo de N2 (nivel2_oraclesoporte@falabella.onmicrosoft.com).</t>
    </r>
  </si>
  <si>
    <r>
      <t xml:space="preserve">Antes y después de ejecutar </t>
    </r>
    <r>
      <rPr>
        <b/>
        <i/>
        <u/>
        <sz val="11"/>
        <color theme="1"/>
        <rFont val="Oracle Sans Tab"/>
        <family val="2"/>
        <scheme val="minor"/>
      </rPr>
      <t>se deben validar los objetos Inválidos en la Base de Datos</t>
    </r>
    <r>
      <rPr>
        <sz val="11"/>
        <color theme="1"/>
        <rFont val="Oracle Sans Tab"/>
        <family val="2"/>
        <scheme val="minor"/>
      </rPr>
      <t>.</t>
    </r>
  </si>
  <si>
    <t>Precauciones</t>
  </si>
  <si>
    <t>Base de datos</t>
  </si>
  <si>
    <t>Cualquier Día</t>
  </si>
  <si>
    <t>En cualquier momento del dia</t>
  </si>
  <si>
    <r>
      <t xml:space="preserve">Antes de promover estos cambios a Producción, </t>
    </r>
    <r>
      <rPr>
        <u/>
        <sz val="11"/>
        <color theme="1"/>
        <rFont val="Oracle Sans Tab"/>
        <family val="2"/>
        <scheme val="minor"/>
      </rPr>
      <t>es obligatorio ejecutar el ciclo completo de operaciones en el entorno QA usando el switch</t>
    </r>
    <r>
      <rPr>
        <sz val="11"/>
        <color theme="1"/>
        <rFont val="Oracle Sans Tab"/>
        <family val="2"/>
        <scheme val="minor"/>
      </rPr>
      <t xml:space="preserve">, con el fin de validar de manera integral el correcto funcionamiento. </t>
    </r>
    <r>
      <rPr>
        <b/>
        <sz val="11"/>
        <color theme="1"/>
        <rFont val="Oracle Sans Tab"/>
        <family val="2"/>
        <scheme val="minor"/>
      </rPr>
      <t>Estas pruebas debe abarcar tanto este desarrollo nuevo como los escenarios ya existentes y actualmente operativos, garantizando que no se produzcan impactos negativos. La ejecución de las pruebas y su verificación exhaustiva resulta indispensable antes de cualquier promoción a Produccion.</t>
    </r>
  </si>
  <si>
    <t>Realizar pruebas con distintas transacciones atraves del Flexswitch con la finalidad de comprobar que los cambios son satisfactorios.</t>
  </si>
  <si>
    <t>gwpks_ca_queryaccmove.sql</t>
  </si>
  <si>
    <t>Package Body</t>
  </si>
  <si>
    <t>Chile</t>
  </si>
  <si>
    <t>V.1</t>
  </si>
  <si>
    <t>BFCL – Comportamiento de la glosa en transacciones de anulación (Chile)</t>
  </si>
  <si>
    <t>Cuando se manda una anulación (MTI 0420 y una letra A en el campo 123) en la trama corporativa, la glosa que se manda en el campo 43 se guarda en la BBDD pero no se pinta en la respuesta del servicio QueryAccMove. 
Este solo muestra la glosa que se manda en la transacción directa MTI 0200. Quisiéramos que la respuesta del servicio pueda recuperar la glosa alojada en la BBDD producto de la transacción de anulación.</t>
  </si>
  <si>
    <t>La causa principal del problema se identificó como la falta de funcionalidad de la aplicación para obtener detalles de transacciones que incluyeran la operación inversa. Esto significaba que el sistema no estaba diseñado para manejar y procesar este tipo de transacciones correctamente, lo que generó la necesidad de implementar una solución para subsanar esta deficiencia.</t>
  </si>
  <si>
    <t>A partir de ahora, todas las transacciones realizadas a través de FlexSwitch que incluyan reversiones deberán mostrar correctamente los detalles de su glosa.</t>
  </si>
  <si>
    <t>adarsh.kumar@oracle.com</t>
  </si>
  <si>
    <t>Adarsh Kumar</t>
  </si>
  <si>
    <t>Sharath Pattabiraman</t>
  </si>
  <si>
    <t>4-0002502510</t>
  </si>
  <si>
    <t>BFCL_4-0002502510_20260409\Install\sql</t>
  </si>
  <si>
    <t>BFCL_4-0002502510_20260409\Rollback\sql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</si>
</sst>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Oracle Sans Tab"/>
      <family val="2"/>
      <scheme val="minor"/>
    </font>
    <font>
      <b/>
      <sz val="24"/>
      <color theme="1"/>
      <name val="Oracle Sans"/>
      <family val="2"/>
    </font>
    <font>
      <i/>
      <sz val="8"/>
      <color theme="1"/>
      <name val="Oracle Sans"/>
      <family val="2"/>
    </font>
    <font>
      <sz val="11"/>
      <color theme="1"/>
      <name val="Oracle Sans"/>
      <family val="2"/>
    </font>
    <font>
      <b/>
      <sz val="11"/>
      <color theme="1"/>
      <name val="Oracle Sans"/>
      <family val="2"/>
    </font>
    <font>
      <b/>
      <sz val="10"/>
      <color rgb="FF000000"/>
      <name val="Oracle Sans"/>
      <family val="2"/>
    </font>
    <font>
      <sz val="12"/>
      <color theme="1"/>
      <name val="Oracle Sans Tab"/>
      <family val="2"/>
      <scheme val="minor"/>
    </font>
    <font>
      <sz val="14"/>
      <color theme="1"/>
      <name val="Oracle Sans Tab"/>
      <family val="2"/>
      <scheme val="minor"/>
    </font>
    <font>
      <b/>
      <sz val="14"/>
      <color theme="1"/>
      <name val="Oracle Sans"/>
      <family val="2"/>
    </font>
    <font>
      <u/>
      <sz val="11"/>
      <color theme="10"/>
      <name val="Oracle Sans Tab"/>
      <family val="2"/>
      <scheme val="minor"/>
    </font>
    <font>
      <b/>
      <sz val="11"/>
      <color theme="1"/>
      <name val="Oracle Sans Tab"/>
      <family val="2"/>
      <scheme val="minor"/>
    </font>
    <font>
      <b/>
      <sz val="14"/>
      <color theme="1"/>
      <name val="Oracle Sans Tab"/>
      <family val="2"/>
      <scheme val="minor"/>
    </font>
    <font>
      <i/>
      <sz val="11"/>
      <color theme="1"/>
      <name val="Oracle Sans Tab"/>
      <family val="2"/>
      <scheme val="minor"/>
    </font>
    <font>
      <sz val="9"/>
      <color indexed="81"/>
      <name val="Tahoma"/>
      <family val="2"/>
    </font>
    <font>
      <b/>
      <sz val="9"/>
      <color indexed="81"/>
      <name val="Tahoma"/>
      <family val="2"/>
    </font>
    <font>
      <sz val="8"/>
      <color theme="1"/>
      <name val="Oracle Sans Cd"/>
      <family val="2"/>
    </font>
    <font>
      <i/>
      <sz val="12"/>
      <color theme="1"/>
      <name val="Oracle Sans Tab"/>
      <family val="2"/>
      <scheme val="minor"/>
    </font>
    <font>
      <sz val="14"/>
      <color theme="1"/>
      <name val="Oracle Sans"/>
      <family val="2"/>
    </font>
    <font>
      <u/>
      <sz val="14"/>
      <color theme="10"/>
      <name val="Oracle Sans Tab"/>
      <family val="2"/>
      <scheme val="minor"/>
    </font>
    <font>
      <b/>
      <u/>
      <sz val="11"/>
      <color theme="1"/>
      <name val="Oracle Sans Light"/>
      <family val="2"/>
    </font>
    <font>
      <sz val="11"/>
      <color theme="1"/>
      <name val="Oracle Sans Light"/>
      <family val="2"/>
    </font>
    <font>
      <b/>
      <sz val="11"/>
      <color theme="1"/>
      <name val="Oracle Sans Light"/>
      <family val="2"/>
    </font>
    <font>
      <b/>
      <i/>
      <u/>
      <sz val="11"/>
      <color theme="1"/>
      <name val="Oracle Sans Tab"/>
      <family val="2"/>
      <scheme val="minor"/>
    </font>
    <font>
      <sz val="9"/>
      <color theme="1"/>
      <name val="Oracle Sans Tab"/>
      <family val="2"/>
      <scheme val="minor"/>
    </font>
    <font>
      <u/>
      <sz val="11"/>
      <color theme="1"/>
      <name val="Oracle Sans Tab"/>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4" tint="0.799981688894314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hair">
        <color indexed="64"/>
      </bottom>
      <diagonal/>
    </border>
    <border>
      <left/>
      <right/>
      <top/>
      <bottom style="double">
        <color indexed="64"/>
      </bottom>
      <diagonal/>
    </border>
    <border>
      <left/>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top style="hair">
        <color auto="1"/>
      </top>
      <bottom/>
      <diagonal/>
    </border>
  </borders>
  <cellStyleXfs count="2">
    <xf numFmtId="0" fontId="0" fillId="0" borderId="0"/>
    <xf numFmtId="0" fontId="9" fillId="0" borderId="0" applyNumberFormat="0" applyFill="0" applyBorder="0" applyAlignment="0" applyProtection="0"/>
  </cellStyleXfs>
  <cellXfs count="95">
    <xf numFmtId="0" fontId="0" fillId="0" borderId="0" xfId="0"/>
    <xf numFmtId="0" fontId="3" fillId="0" borderId="0" xfId="0" applyFont="1" applyAlignment="1">
      <alignment horizontal="justify" vertical="center"/>
    </xf>
    <xf numFmtId="0" fontId="3" fillId="0" borderId="0" xfId="0" applyFont="1"/>
    <xf numFmtId="0" fontId="1" fillId="0" borderId="0" xfId="0" applyFont="1" applyAlignment="1"/>
    <xf numFmtId="0" fontId="0" fillId="0" borderId="0" xfId="0" applyFill="1"/>
    <xf numFmtId="0" fontId="4" fillId="0" borderId="0" xfId="0" applyFont="1" applyAlignment="1">
      <alignment horizontal="right"/>
    </xf>
    <xf numFmtId="0" fontId="1" fillId="0" borderId="0" xfId="0" applyFont="1" applyAlignment="1">
      <alignment vertical="center"/>
    </xf>
    <xf numFmtId="0" fontId="0" fillId="0" borderId="1" xfId="0" applyBorder="1"/>
    <xf numFmtId="0" fontId="4" fillId="0" borderId="0" xfId="0" applyFont="1" applyAlignment="1"/>
    <xf numFmtId="0" fontId="1" fillId="0" borderId="0" xfId="0" applyFont="1" applyBorder="1" applyAlignment="1">
      <alignment vertical="center"/>
    </xf>
    <xf numFmtId="0" fontId="3" fillId="0" borderId="0" xfId="0" applyFont="1" applyBorder="1"/>
    <xf numFmtId="0" fontId="3" fillId="0" borderId="0" xfId="0" applyFont="1" applyAlignment="1"/>
    <xf numFmtId="0" fontId="0" fillId="0" borderId="0" xfId="0" applyBorder="1"/>
    <xf numFmtId="0" fontId="4" fillId="0" borderId="0" xfId="0" applyFont="1" applyAlignment="1">
      <alignment vertical="center"/>
    </xf>
    <xf numFmtId="0" fontId="3" fillId="0" borderId="0" xfId="0" applyFont="1" applyBorder="1" applyAlignment="1">
      <alignment vertical="center" wrapText="1"/>
    </xf>
    <xf numFmtId="0" fontId="2" fillId="0" borderId="0" xfId="0" applyFont="1"/>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2" fillId="0" borderId="0" xfId="0" applyFont="1" applyBorder="1" applyAlignment="1"/>
    <xf numFmtId="0" fontId="0" fillId="0" borderId="1" xfId="0" applyBorder="1" applyAlignment="1">
      <alignment horizontal="center" vertical="center"/>
    </xf>
    <xf numFmtId="0" fontId="10" fillId="0" borderId="9" xfId="0" applyFont="1" applyBorder="1" applyAlignment="1">
      <alignment horizontal="right" vertical="center" indent="1"/>
    </xf>
    <xf numFmtId="0" fontId="10" fillId="0" borderId="1" xfId="0" applyFont="1" applyBorder="1" applyAlignment="1">
      <alignment horizontal="right" vertical="center" indent="1"/>
    </xf>
    <xf numFmtId="0" fontId="0" fillId="0" borderId="15" xfId="0" applyBorder="1"/>
    <xf numFmtId="0" fontId="7" fillId="0" borderId="16" xfId="0" applyFont="1" applyBorder="1" applyAlignment="1">
      <alignment horizontal="left" indent="1"/>
    </xf>
    <xf numFmtId="0" fontId="0" fillId="0" borderId="16" xfId="0" applyBorder="1"/>
    <xf numFmtId="0" fontId="0" fillId="0" borderId="17" xfId="0" applyBorder="1"/>
    <xf numFmtId="0" fontId="0" fillId="0" borderId="14" xfId="0" applyBorder="1"/>
    <xf numFmtId="0" fontId="12" fillId="0" borderId="0" xfId="0" applyFont="1" applyBorder="1" applyAlignment="1">
      <alignment horizontal="right"/>
    </xf>
    <xf numFmtId="0" fontId="0" fillId="0" borderId="8" xfId="0" applyBorder="1"/>
    <xf numFmtId="0" fontId="0" fillId="0" borderId="18" xfId="0" applyBorder="1"/>
    <xf numFmtId="0" fontId="0" fillId="0" borderId="19" xfId="0" applyBorder="1" applyAlignment="1">
      <alignment horizontal="right"/>
    </xf>
    <xf numFmtId="0" fontId="0" fillId="0" borderId="19" xfId="0" applyBorder="1"/>
    <xf numFmtId="0" fontId="0" fillId="0" borderId="20" xfId="0" applyBorder="1"/>
    <xf numFmtId="0" fontId="15" fillId="0" borderId="0" xfId="0" applyFont="1" applyBorder="1"/>
    <xf numFmtId="0" fontId="16" fillId="0" borderId="0" xfId="0" applyFont="1" applyBorder="1" applyAlignment="1">
      <alignment horizontal="right"/>
    </xf>
    <xf numFmtId="0" fontId="6" fillId="0" borderId="5" xfId="0" applyFont="1" applyBorder="1"/>
    <xf numFmtId="0" fontId="6" fillId="0" borderId="7" xfId="0" applyFont="1" applyBorder="1"/>
    <xf numFmtId="14" fontId="17" fillId="0" borderId="6" xfId="0" applyNumberFormat="1" applyFont="1" applyBorder="1" applyAlignment="1">
      <alignment horizontal="left"/>
    </xf>
    <xf numFmtId="0" fontId="8" fillId="0" borderId="0" xfId="0" applyFont="1" applyBorder="1" applyAlignment="1">
      <alignment horizontal="left" vertical="center"/>
    </xf>
    <xf numFmtId="0" fontId="1" fillId="0" borderId="0" xfId="0" applyFont="1" applyBorder="1" applyAlignment="1">
      <alignment horizontal="left" vertical="center"/>
    </xf>
    <xf numFmtId="0" fontId="3" fillId="0" borderId="0" xfId="0" applyFont="1" applyAlignment="1">
      <alignment horizontal="left"/>
    </xf>
    <xf numFmtId="0" fontId="18" fillId="0" borderId="0" xfId="1" applyFont="1" applyBorder="1" applyAlignment="1"/>
    <xf numFmtId="0" fontId="0" fillId="0" borderId="1" xfId="0" applyBorder="1" applyAlignment="1">
      <alignment horizontal="left" vertical="center"/>
    </xf>
    <xf numFmtId="0" fontId="20" fillId="0" borderId="0" xfId="0" applyFont="1" applyBorder="1"/>
    <xf numFmtId="0" fontId="20" fillId="0" borderId="24" xfId="0" applyFont="1" applyBorder="1"/>
    <xf numFmtId="14" fontId="20" fillId="0" borderId="0" xfId="0" applyNumberFormat="1" applyFont="1" applyBorder="1" applyAlignment="1">
      <alignment horizontal="left"/>
    </xf>
    <xf numFmtId="0" fontId="20" fillId="0" borderId="5" xfId="0" applyFont="1" applyBorder="1"/>
    <xf numFmtId="0" fontId="20" fillId="0" borderId="26" xfId="0" applyFont="1" applyBorder="1"/>
    <xf numFmtId="0" fontId="9" fillId="0" borderId="0" xfId="1" applyBorder="1" applyAlignment="1"/>
    <xf numFmtId="0" fontId="0" fillId="0" borderId="0" xfId="0" applyAlignment="1">
      <alignment vertical="center"/>
    </xf>
    <xf numFmtId="0" fontId="0" fillId="0" borderId="1" xfId="0" applyBorder="1" applyAlignment="1">
      <alignment vertical="center"/>
    </xf>
    <xf numFmtId="0" fontId="21" fillId="0" borderId="23" xfId="0" applyFont="1" applyBorder="1" applyAlignment="1">
      <alignment horizontal="right" vertical="center"/>
    </xf>
    <xf numFmtId="0" fontId="21" fillId="0" borderId="0" xfId="0" applyFont="1" applyBorder="1" applyAlignment="1">
      <alignment horizontal="right" vertical="center"/>
    </xf>
    <xf numFmtId="0" fontId="21" fillId="0" borderId="25" xfId="0" applyFont="1" applyBorder="1" applyAlignment="1">
      <alignment horizontal="right" vertical="center"/>
    </xf>
    <xf numFmtId="0" fontId="21" fillId="0" borderId="5" xfId="0" applyFont="1" applyBorder="1" applyAlignment="1">
      <alignment horizontal="right" vertical="center"/>
    </xf>
    <xf numFmtId="0" fontId="1" fillId="0" borderId="0" xfId="0" applyFont="1" applyBorder="1" applyAlignment="1">
      <alignment horizontal="center" vertical="center" wrapText="1"/>
    </xf>
    <xf numFmtId="0" fontId="17" fillId="0" borderId="0" xfId="0" applyFont="1" applyAlignment="1">
      <alignment horizontal="right"/>
    </xf>
    <xf numFmtId="0" fontId="3" fillId="0" borderId="0" xfId="0" applyFont="1" applyBorder="1" applyAlignment="1">
      <alignment horizontal="left" vertical="center" wrapText="1" indent="2"/>
    </xf>
    <xf numFmtId="0" fontId="4" fillId="0" borderId="0" xfId="0" applyFont="1" applyAlignment="1">
      <alignment horizontal="right" vertical="center"/>
    </xf>
    <xf numFmtId="0" fontId="19" fillId="0" borderId="21" xfId="0" applyFont="1" applyBorder="1" applyAlignment="1">
      <alignment horizontal="center" vertical="center"/>
    </xf>
    <xf numFmtId="0" fontId="19" fillId="0" borderId="27" xfId="0" applyFont="1" applyBorder="1" applyAlignment="1">
      <alignment horizontal="center" vertical="center"/>
    </xf>
    <xf numFmtId="0" fontId="19" fillId="0" borderId="22" xfId="0" applyFont="1" applyBorder="1" applyAlignment="1">
      <alignment horizontal="center" vertical="center"/>
    </xf>
    <xf numFmtId="0" fontId="8" fillId="0" borderId="0" xfId="0" applyFont="1" applyBorder="1" applyAlignment="1">
      <alignment horizontal="right" vertical="center"/>
    </xf>
    <xf numFmtId="0" fontId="8" fillId="0" borderId="0" xfId="0" applyFont="1" applyBorder="1" applyAlignment="1">
      <alignment horizontal="left" vertical="center"/>
    </xf>
    <xf numFmtId="0" fontId="17" fillId="0" borderId="0" xfId="0" applyFont="1" applyBorder="1" applyAlignment="1">
      <alignment horizontal="right"/>
    </xf>
    <xf numFmtId="0" fontId="23" fillId="0" borderId="1" xfId="0" applyFont="1" applyBorder="1" applyAlignment="1">
      <alignment horizontal="left" vertical="center" wrapText="1"/>
    </xf>
    <xf numFmtId="0" fontId="23" fillId="0" borderId="9" xfId="0" applyFont="1" applyBorder="1" applyAlignment="1">
      <alignment horizontal="left" vertical="center" wrapText="1"/>
    </xf>
    <xf numFmtId="0" fontId="11" fillId="5" borderId="10" xfId="0" applyFont="1" applyFill="1" applyBorder="1" applyAlignment="1">
      <alignment horizontal="center"/>
    </xf>
    <xf numFmtId="0" fontId="11" fillId="6" borderId="1" xfId="0" applyFont="1" applyFill="1" applyBorder="1" applyAlignment="1">
      <alignment horizontal="center"/>
    </xf>
    <xf numFmtId="0" fontId="11" fillId="2" borderId="1" xfId="0" applyFont="1" applyFill="1" applyBorder="1" applyAlignment="1">
      <alignment horizontal="center"/>
    </xf>
    <xf numFmtId="0" fontId="23" fillId="0" borderId="2" xfId="0" applyFont="1" applyBorder="1" applyAlignment="1">
      <alignment horizontal="left" vertical="center" wrapText="1"/>
    </xf>
    <xf numFmtId="0" fontId="23" fillId="0" borderId="3" xfId="0" applyFont="1" applyBorder="1" applyAlignment="1">
      <alignment horizontal="left" vertical="center" wrapText="1"/>
    </xf>
    <xf numFmtId="0" fontId="23" fillId="0" borderId="4" xfId="0" applyFont="1"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11" fillId="5" borderId="2" xfId="0" applyFont="1" applyFill="1" applyBorder="1" applyAlignment="1">
      <alignment horizontal="center"/>
    </xf>
    <xf numFmtId="0" fontId="11" fillId="5" borderId="3" xfId="0" applyFont="1" applyFill="1" applyBorder="1" applyAlignment="1">
      <alignment horizontal="center"/>
    </xf>
    <xf numFmtId="0" fontId="11" fillId="5" borderId="4" xfId="0" applyFont="1" applyFill="1" applyBorder="1" applyAlignment="1">
      <alignment horizont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11" fillId="6" borderId="10" xfId="0" applyFont="1" applyFill="1" applyBorder="1" applyAlignment="1">
      <alignment horizontal="center"/>
    </xf>
    <xf numFmtId="0" fontId="11" fillId="6" borderId="11" xfId="0" applyFont="1" applyFill="1" applyBorder="1" applyAlignment="1">
      <alignment horizontal="center"/>
    </xf>
    <xf numFmtId="0" fontId="11" fillId="6" borderId="12" xfId="0" applyFont="1" applyFill="1" applyBorder="1" applyAlignment="1">
      <alignment horizontal="center"/>
    </xf>
    <xf numFmtId="0" fontId="11" fillId="6" borderId="13" xfId="0" applyFont="1" applyFill="1" applyBorder="1" applyAlignment="1">
      <alignment horizontal="center"/>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11" fillId="2" borderId="11" xfId="0" applyFont="1" applyFill="1" applyBorder="1" applyAlignment="1">
      <alignment horizontal="center"/>
    </xf>
    <xf numFmtId="0" fontId="11" fillId="2" borderId="12" xfId="0" applyFont="1" applyFill="1" applyBorder="1" applyAlignment="1">
      <alignment horizontal="center"/>
    </xf>
    <xf numFmtId="0" fontId="11" fillId="2" borderId="13"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15240</xdr:colOff>
      <xdr:row>0</xdr:row>
      <xdr:rowOff>0</xdr:rowOff>
    </xdr:from>
    <xdr:to>
      <xdr:col>6</xdr:col>
      <xdr:colOff>676200</xdr:colOff>
      <xdr:row>1</xdr:row>
      <xdr:rowOff>0</xdr:rowOff>
    </xdr:to>
    <xdr:grpSp>
      <xdr:nvGrpSpPr>
        <xdr:cNvPr id="2" name="Group 1">
          <a:extLst>
            <a:ext uri="{FF2B5EF4-FFF2-40B4-BE49-F238E27FC236}">
              <a16:creationId xmlns:a16="http://schemas.microsoft.com/office/drawing/2014/main" id="{97383791-9157-457A-BF5A-433345E9CF53}"/>
            </a:ext>
          </a:extLst>
        </xdr:cNvPr>
        <xdr:cNvGrpSpPr/>
      </xdr:nvGrpSpPr>
      <xdr:grpSpPr>
        <a:xfrm>
          <a:off x="6560276" y="0"/>
          <a:ext cx="2157745" cy="653143"/>
          <a:chOff x="6454140" y="99060"/>
          <a:chExt cx="2124000" cy="723900"/>
        </a:xfrm>
      </xdr:grpSpPr>
      <xdr:pic>
        <xdr:nvPicPr>
          <xdr:cNvPr id="3" name="Picture 2">
            <a:extLst>
              <a:ext uri="{FF2B5EF4-FFF2-40B4-BE49-F238E27FC236}">
                <a16:creationId xmlns:a16="http://schemas.microsoft.com/office/drawing/2014/main" id="{87A0CC84-4034-D3DB-E847-F32E54C774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4140" y="99060"/>
            <a:ext cx="2124000" cy="664263"/>
          </a:xfrm>
          <a:prstGeom prst="rect">
            <a:avLst/>
          </a:prstGeom>
        </xdr:spPr>
      </xdr:pic>
      <xdr:sp macro="" textlink="">
        <xdr:nvSpPr>
          <xdr:cNvPr id="4" name="TextBox 3">
            <a:extLst>
              <a:ext uri="{FF2B5EF4-FFF2-40B4-BE49-F238E27FC236}">
                <a16:creationId xmlns:a16="http://schemas.microsoft.com/office/drawing/2014/main" id="{A8E69100-DB89-74D7-8771-397068E75770}"/>
              </a:ext>
            </a:extLst>
          </xdr:cNvPr>
          <xdr:cNvSpPr txBox="1"/>
        </xdr:nvSpPr>
        <xdr:spPr>
          <a:xfrm>
            <a:off x="6454140" y="556260"/>
            <a:ext cx="2124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800" i="1">
                <a:latin typeface="Oracle Sans" panose="020B0503020204020204" pitchFamily="34" charset="0"/>
                <a:cs typeface="Oracle Sans" panose="020B0503020204020204" pitchFamily="34" charset="0"/>
              </a:rPr>
              <a:t>Oracle Financial Services Software Limited</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2103120</xdr:colOff>
      <xdr:row>0</xdr:row>
      <xdr:rowOff>0</xdr:rowOff>
    </xdr:from>
    <xdr:to>
      <xdr:col>7</xdr:col>
      <xdr:colOff>2078280</xdr:colOff>
      <xdr:row>3</xdr:row>
      <xdr:rowOff>152400</xdr:rowOff>
    </xdr:to>
    <xdr:grpSp>
      <xdr:nvGrpSpPr>
        <xdr:cNvPr id="3" name="Group 2">
          <a:extLst>
            <a:ext uri="{FF2B5EF4-FFF2-40B4-BE49-F238E27FC236}">
              <a16:creationId xmlns:a16="http://schemas.microsoft.com/office/drawing/2014/main" id="{8A371C07-7155-4E7B-850D-8F5AF91D22AD}"/>
            </a:ext>
          </a:extLst>
        </xdr:cNvPr>
        <xdr:cNvGrpSpPr/>
      </xdr:nvGrpSpPr>
      <xdr:grpSpPr>
        <a:xfrm>
          <a:off x="8020526" y="0"/>
          <a:ext cx="2177817" cy="759619"/>
          <a:chOff x="6454140" y="99060"/>
          <a:chExt cx="2124000" cy="723900"/>
        </a:xfrm>
      </xdr:grpSpPr>
      <xdr:pic>
        <xdr:nvPicPr>
          <xdr:cNvPr id="4" name="Picture 3">
            <a:extLst>
              <a:ext uri="{FF2B5EF4-FFF2-40B4-BE49-F238E27FC236}">
                <a16:creationId xmlns:a16="http://schemas.microsoft.com/office/drawing/2014/main" id="{1F50325D-8565-003E-15C5-C3F4967C38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4140" y="99060"/>
            <a:ext cx="2124000" cy="664263"/>
          </a:xfrm>
          <a:prstGeom prst="rect">
            <a:avLst/>
          </a:prstGeom>
        </xdr:spPr>
      </xdr:pic>
      <xdr:sp macro="" textlink="">
        <xdr:nvSpPr>
          <xdr:cNvPr id="5" name="TextBox 4">
            <a:extLst>
              <a:ext uri="{FF2B5EF4-FFF2-40B4-BE49-F238E27FC236}">
                <a16:creationId xmlns:a16="http://schemas.microsoft.com/office/drawing/2014/main" id="{89308E48-AA17-A903-7E65-4C419B221339}"/>
              </a:ext>
            </a:extLst>
          </xdr:cNvPr>
          <xdr:cNvSpPr txBox="1"/>
        </xdr:nvSpPr>
        <xdr:spPr>
          <a:xfrm>
            <a:off x="6454140" y="556260"/>
            <a:ext cx="2124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800" i="1">
                <a:latin typeface="Oracle Sans" panose="020B0503020204020204" pitchFamily="34" charset="0"/>
                <a:cs typeface="Oracle Sans" panose="020B0503020204020204" pitchFamily="34" charset="0"/>
              </a:rPr>
              <a:t>Oracle Financial Services Software Limited</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2103120</xdr:colOff>
      <xdr:row>0</xdr:row>
      <xdr:rowOff>0</xdr:rowOff>
    </xdr:from>
    <xdr:to>
      <xdr:col>7</xdr:col>
      <xdr:colOff>2078280</xdr:colOff>
      <xdr:row>3</xdr:row>
      <xdr:rowOff>152400</xdr:rowOff>
    </xdr:to>
    <xdr:grpSp>
      <xdr:nvGrpSpPr>
        <xdr:cNvPr id="2" name="Group 1">
          <a:extLst>
            <a:ext uri="{FF2B5EF4-FFF2-40B4-BE49-F238E27FC236}">
              <a16:creationId xmlns:a16="http://schemas.microsoft.com/office/drawing/2014/main" id="{59B313DF-382F-4A99-B890-2221C72C4D54}"/>
            </a:ext>
          </a:extLst>
        </xdr:cNvPr>
        <xdr:cNvGrpSpPr/>
      </xdr:nvGrpSpPr>
      <xdr:grpSpPr>
        <a:xfrm>
          <a:off x="8020526" y="0"/>
          <a:ext cx="2177817" cy="759619"/>
          <a:chOff x="6454140" y="99060"/>
          <a:chExt cx="2124000" cy="723900"/>
        </a:xfrm>
      </xdr:grpSpPr>
      <xdr:pic>
        <xdr:nvPicPr>
          <xdr:cNvPr id="3" name="Picture 2">
            <a:extLst>
              <a:ext uri="{FF2B5EF4-FFF2-40B4-BE49-F238E27FC236}">
                <a16:creationId xmlns:a16="http://schemas.microsoft.com/office/drawing/2014/main" id="{D4353080-B6EB-DB9B-4AFC-17C1240570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4140" y="99060"/>
            <a:ext cx="2124000" cy="664263"/>
          </a:xfrm>
          <a:prstGeom prst="rect">
            <a:avLst/>
          </a:prstGeom>
        </xdr:spPr>
      </xdr:pic>
      <xdr:sp macro="" textlink="">
        <xdr:nvSpPr>
          <xdr:cNvPr id="4" name="TextBox 3">
            <a:extLst>
              <a:ext uri="{FF2B5EF4-FFF2-40B4-BE49-F238E27FC236}">
                <a16:creationId xmlns:a16="http://schemas.microsoft.com/office/drawing/2014/main" id="{9E618B36-415B-40B4-1273-554B665CBE00}"/>
              </a:ext>
            </a:extLst>
          </xdr:cNvPr>
          <xdr:cNvSpPr txBox="1"/>
        </xdr:nvSpPr>
        <xdr:spPr>
          <a:xfrm>
            <a:off x="6454140" y="556260"/>
            <a:ext cx="2124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800" i="1">
                <a:latin typeface="Oracle Sans" panose="020B0503020204020204" pitchFamily="34" charset="0"/>
                <a:cs typeface="Oracle Sans" panose="020B0503020204020204" pitchFamily="34" charset="0"/>
              </a:rPr>
              <a:t>Oracle Financial Services Software Limited</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3611880</xdr:colOff>
      <xdr:row>0</xdr:row>
      <xdr:rowOff>0</xdr:rowOff>
    </xdr:from>
    <xdr:to>
      <xdr:col>7</xdr:col>
      <xdr:colOff>668580</xdr:colOff>
      <xdr:row>3</xdr:row>
      <xdr:rowOff>152400</xdr:rowOff>
    </xdr:to>
    <xdr:grpSp>
      <xdr:nvGrpSpPr>
        <xdr:cNvPr id="2" name="Group 1">
          <a:extLst>
            <a:ext uri="{FF2B5EF4-FFF2-40B4-BE49-F238E27FC236}">
              <a16:creationId xmlns:a16="http://schemas.microsoft.com/office/drawing/2014/main" id="{69C2CA0F-D3E6-4D8F-988F-C6B9101F86F3}"/>
            </a:ext>
          </a:extLst>
        </xdr:cNvPr>
        <xdr:cNvGrpSpPr/>
      </xdr:nvGrpSpPr>
      <xdr:grpSpPr>
        <a:xfrm>
          <a:off x="12327255" y="0"/>
          <a:ext cx="2259731" cy="759619"/>
          <a:chOff x="6454140" y="99060"/>
          <a:chExt cx="2154480" cy="723900"/>
        </a:xfrm>
      </xdr:grpSpPr>
      <xdr:pic>
        <xdr:nvPicPr>
          <xdr:cNvPr id="3" name="Picture 2">
            <a:extLst>
              <a:ext uri="{FF2B5EF4-FFF2-40B4-BE49-F238E27FC236}">
                <a16:creationId xmlns:a16="http://schemas.microsoft.com/office/drawing/2014/main" id="{6EDA45D4-A7C6-523B-B6E0-918799B2C1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84620" y="99060"/>
            <a:ext cx="2124000" cy="664263"/>
          </a:xfrm>
          <a:prstGeom prst="rect">
            <a:avLst/>
          </a:prstGeom>
        </xdr:spPr>
      </xdr:pic>
      <xdr:sp macro="" textlink="">
        <xdr:nvSpPr>
          <xdr:cNvPr id="4" name="TextBox 3">
            <a:extLst>
              <a:ext uri="{FF2B5EF4-FFF2-40B4-BE49-F238E27FC236}">
                <a16:creationId xmlns:a16="http://schemas.microsoft.com/office/drawing/2014/main" id="{83802F1E-4497-912B-4824-68E2F921E64E}"/>
              </a:ext>
            </a:extLst>
          </xdr:cNvPr>
          <xdr:cNvSpPr txBox="1"/>
        </xdr:nvSpPr>
        <xdr:spPr>
          <a:xfrm>
            <a:off x="6454140" y="556260"/>
            <a:ext cx="2124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800" i="1">
                <a:latin typeface="Oracle Sans" panose="020B0503020204020204" pitchFamily="34" charset="0"/>
                <a:cs typeface="Oracle Sans" panose="020B0503020204020204" pitchFamily="34" charset="0"/>
              </a:rPr>
              <a:t>Oracle Financial Services Software Limited</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3611880</xdr:colOff>
      <xdr:row>0</xdr:row>
      <xdr:rowOff>0</xdr:rowOff>
    </xdr:from>
    <xdr:to>
      <xdr:col>7</xdr:col>
      <xdr:colOff>668580</xdr:colOff>
      <xdr:row>3</xdr:row>
      <xdr:rowOff>152400</xdr:rowOff>
    </xdr:to>
    <xdr:grpSp>
      <xdr:nvGrpSpPr>
        <xdr:cNvPr id="2" name="Group 1">
          <a:extLst>
            <a:ext uri="{FF2B5EF4-FFF2-40B4-BE49-F238E27FC236}">
              <a16:creationId xmlns:a16="http://schemas.microsoft.com/office/drawing/2014/main" id="{3EC616CE-4A11-479D-8017-9F8AC4234795}"/>
            </a:ext>
          </a:extLst>
        </xdr:cNvPr>
        <xdr:cNvGrpSpPr/>
      </xdr:nvGrpSpPr>
      <xdr:grpSpPr>
        <a:xfrm>
          <a:off x="12327255" y="0"/>
          <a:ext cx="2259731" cy="759619"/>
          <a:chOff x="6454140" y="99060"/>
          <a:chExt cx="2154480" cy="723900"/>
        </a:xfrm>
      </xdr:grpSpPr>
      <xdr:pic>
        <xdr:nvPicPr>
          <xdr:cNvPr id="3" name="Picture 2">
            <a:extLst>
              <a:ext uri="{FF2B5EF4-FFF2-40B4-BE49-F238E27FC236}">
                <a16:creationId xmlns:a16="http://schemas.microsoft.com/office/drawing/2014/main" id="{7AE2B004-8AC4-F9B3-749D-2960707D5E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84620" y="99060"/>
            <a:ext cx="2124000" cy="664263"/>
          </a:xfrm>
          <a:prstGeom prst="rect">
            <a:avLst/>
          </a:prstGeom>
        </xdr:spPr>
      </xdr:pic>
      <xdr:sp macro="" textlink="">
        <xdr:nvSpPr>
          <xdr:cNvPr id="4" name="TextBox 3">
            <a:extLst>
              <a:ext uri="{FF2B5EF4-FFF2-40B4-BE49-F238E27FC236}">
                <a16:creationId xmlns:a16="http://schemas.microsoft.com/office/drawing/2014/main" id="{3CB5C02C-363E-F4DD-69CD-C9F993692F4C}"/>
              </a:ext>
            </a:extLst>
          </xdr:cNvPr>
          <xdr:cNvSpPr txBox="1"/>
        </xdr:nvSpPr>
        <xdr:spPr>
          <a:xfrm>
            <a:off x="6454140" y="556260"/>
            <a:ext cx="2124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800" i="1">
                <a:latin typeface="Oracle Sans" panose="020B0503020204020204" pitchFamily="34" charset="0"/>
                <a:cs typeface="Oracle Sans" panose="020B0503020204020204" pitchFamily="34" charset="0"/>
              </a:rPr>
              <a:t>Oracle Financial Services Software Limited</a:t>
            </a:r>
          </a:p>
        </xdr:txBody>
      </xdr:sp>
    </xdr:grpSp>
    <xdr:clientData/>
  </xdr:twoCellAnchor>
</xdr:wsDr>
</file>

<file path=xl/theme/theme1.xml><?xml version="1.0" encoding="utf-8"?>
<a:theme xmlns:a="http://schemas.openxmlformats.org/drawingml/2006/main" name="Oracle Redwood Excel 04-2020">
  <a:themeElements>
    <a:clrScheme name="Oracle Brand Accessible">
      <a:dk1>
        <a:sysClr val="windowText" lastClr="000000"/>
      </a:dk1>
      <a:lt1>
        <a:sysClr val="window" lastClr="FFFFFF"/>
      </a:lt1>
      <a:dk2>
        <a:srgbClr val="312D2A"/>
      </a:dk2>
      <a:lt2>
        <a:srgbClr val="FCFBFA"/>
      </a:lt2>
      <a:accent1>
        <a:srgbClr val="76A2A0"/>
      </a:accent1>
      <a:accent2>
        <a:srgbClr val="796087"/>
      </a:accent2>
      <a:accent3>
        <a:srgbClr val="C28897"/>
      </a:accent3>
      <a:accent4>
        <a:srgbClr val="315357"/>
      </a:accent4>
      <a:accent5>
        <a:srgbClr val="C58C52"/>
      </a:accent5>
      <a:accent6>
        <a:srgbClr val="925865"/>
      </a:accent6>
      <a:hlink>
        <a:srgbClr val="2C5967"/>
      </a:hlink>
      <a:folHlink>
        <a:srgbClr val="2C5967"/>
      </a:folHlink>
    </a:clrScheme>
    <a:fontScheme name="Oracle TAB">
      <a:majorFont>
        <a:latin typeface="Georgia"/>
        <a:ea typeface=""/>
        <a:cs typeface=""/>
      </a:majorFont>
      <a:minorFont>
        <a:latin typeface="Oracle Sans Tab"/>
        <a:ea typeface=""/>
        <a:cs typeface=""/>
      </a:minorFont>
    </a:fontScheme>
    <a:fmtScheme name="Flat">
      <a:fillStyleLst>
        <a:solidFill>
          <a:schemeClr val="phClr"/>
        </a:solidFill>
        <a:solidFill>
          <a:schemeClr val="phClr">
            <a:tint val="50000"/>
          </a:schemeClr>
        </a:solidFill>
        <a:solidFill>
          <a:schemeClr val="phClr">
            <a:shade val="65000"/>
          </a:schemeClr>
        </a:solidFill>
      </a:fillStyleLst>
      <a:lnStyleLst>
        <a:ln w="3175" cap="flat" cmpd="sng" algn="ctr">
          <a:solidFill>
            <a:schemeClr val="phClr">
              <a:shade val="65000"/>
            </a:schemeClr>
          </a:solidFill>
          <a:prstDash val="solid"/>
        </a:ln>
        <a:ln w="3175" cap="flat" cmpd="sng" algn="ctr">
          <a:solidFill>
            <a:schemeClr val="phClr"/>
          </a:solidFill>
          <a:prstDash val="solid"/>
        </a:ln>
        <a:ln w="0" cap="flat" cmpd="sng" algn="ctr">
          <a:noFill/>
        </a:ln>
      </a:lnStyleLst>
      <a:effectStyleLst>
        <a:effectStyle>
          <a:effectLst>
            <a:blur/>
          </a:effectLst>
        </a:effectStyle>
        <a:effectStyle>
          <a:effectLst>
            <a:blur/>
          </a:effectLst>
        </a:effectStyle>
        <a:effectStyle>
          <a:effectLst>
            <a:fillOverlay blend="darken">
              <a:solidFill>
                <a:schemeClr val="phClr">
                  <a:shade val="30000"/>
                </a:schemeClr>
              </a:solidFill>
            </a:fillOverlay>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custClrLst>
    <a:custClr name="Ocean: Dark fill_White text">
      <a:srgbClr val="2C5967"/>
    </a:custClr>
    <a:custClr name="Surf: Light fill_Black text">
      <a:srgbClr val="41817E"/>
    </a:custClr>
    <a:custClr name="Sand: Light fill_Black text">
      <a:srgbClr val="E5DBBE"/>
    </a:custClr>
    <a:custClr name="Pebble: Light fill_Black text">
      <a:srgbClr val="8B8580"/>
    </a:custClr>
    <a:custClr name="Granite: Dark fill_White text">
      <a:srgbClr val="67605B"/>
    </a:custClr>
    <a:custClr name="Oracle Red: Dark fill_White text">
      <a:srgbClr val="C74634"/>
    </a:custClr>
    <a:custClr name="Highlight/hyperlink dark theme">
      <a:srgbClr val="F0CC71"/>
    </a:custClr>
    <a:custClr name="Highlight/numbered list light theme">
      <a:srgbClr val="AE562C"/>
    </a:custClr>
    <a:custClr name="Highlight/numbered list light theme">
      <a:srgbClr val="00688C"/>
    </a:custClr>
    <a:custClr name="Numbered list dark theme">
      <a:srgbClr val="759C6C"/>
    </a:custClr>
    <a:custClr name="Neutral 30: Light fill_Black text">
      <a:srgbClr val="F1EFED"/>
    </a:custClr>
    <a:custClr name="Pebble 30: Light fill_Black text">
      <a:srgbClr val="E7F0FD"/>
    </a:custClr>
    <a:custClr name="Slate 30: Light fill_Black text">
      <a:srgbClr val="E7F2F2"/>
    </a:custClr>
    <a:custClr name="Pine 30: Light fill_Black text">
      <a:srgbClr val="E0F5E7"/>
    </a:custClr>
    <a:custClr name="Teal 30: Light fill_Black text">
      <a:srgbClr val="E8F1F0"/>
    </a:custClr>
    <a:custClr name="Ocean 30: Light fill_Black text">
      <a:srgbClr val="E7F2F5"/>
    </a:custClr>
    <a:custClr name="Lilac 30: Light fill_Black text">
      <a:srgbClr val="EBEFFE"/>
    </a:custClr>
    <a:custClr name="Plum 30: Light fill_Black text">
      <a:srgbClr val="F5ECFB"/>
    </a:custClr>
    <a:custClr name="Rose 30: Light fill_Black text">
      <a:srgbClr val="FBECEF"/>
    </a:custClr>
    <a:custClr name="Sky 30: Light fill_Black text">
      <a:srgbClr val="E4F1F7"/>
    </a:custClr>
    <a:custClr name="Neutral 70: Light fill_Black text">
      <a:srgbClr val="AEA8A2"/>
    </a:custClr>
    <a:custClr name="Pebble 70: Light fill_Black text">
      <a:srgbClr val="A2AAB6"/>
    </a:custClr>
    <a:custClr name="Slate 70: Light fill_Black text">
      <a:srgbClr val="99ADAE"/>
    </a:custClr>
    <a:custClr name="Pine 70: Light fill_Black text">
      <a:srgbClr val="86B596"/>
    </a:custClr>
    <a:custClr name="Teal: Light fill_Black text 70">
      <a:srgbClr val="89B2B0"/>
    </a:custClr>
    <a:custClr name="Ocean 70: Light fill_Black text">
      <a:srgbClr val="81B2C3"/>
    </a:custClr>
    <a:custClr name="Lilac 70: Light fill_Black text">
      <a:srgbClr val="A0A9C5"/>
    </a:custClr>
    <a:custClr name="Plum 70: Light fill_Black text">
      <a:srgbClr val="B7A1C4"/>
    </a:custClr>
    <a:custClr name="Rose 70: Light fill_Black text">
      <a:srgbClr val="CE9BA7"/>
    </a:custClr>
    <a:custClr name="Sky 70: Light fill_Black text">
      <a:srgbClr val="79B1C6"/>
    </a:custClr>
    <a:custClr name="Neutral 140: Dark fill_White text">
      <a:srgbClr val="514C47"/>
    </a:custClr>
    <a:custClr name="Pebble 140: Dark fill_White text">
      <a:srgbClr val="494D53"/>
    </a:custClr>
    <a:custClr name="Slate 140: Dark fill_White text">
      <a:srgbClr val="464F4F"/>
    </a:custClr>
    <a:custClr name="Pine 140: Dark fill_White text">
      <a:srgbClr val="33553C"/>
    </a:custClr>
    <a:custClr name="Teal 140: Dark fill_White text">
      <a:srgbClr val="315357"/>
    </a:custClr>
    <a:custClr name="Ocean 140: Dark fill_White text">
      <a:srgbClr val="2C5266"/>
    </a:custClr>
    <a:custClr name="Lilac 140: Dark fill_White text">
      <a:srgbClr val="464C68"/>
    </a:custClr>
    <a:custClr name="Plum 140: Dark fill_White text">
      <a:srgbClr val="594564"/>
    </a:custClr>
    <a:custClr name="Rose 140: Dark fill_White text">
      <a:srgbClr val="6C3F49"/>
    </a:custClr>
    <a:custClr name="Sky 140: Dark fill_White text">
      <a:srgbClr val="04536F"/>
    </a:custClr>
    <a:custClr name="Neutral 170: Dark fill_White text">
      <a:srgbClr val="312D2A"/>
    </a:custClr>
    <a:custClr name="Pebble 170: Dark fill_White text">
      <a:srgbClr val="2B2E32"/>
    </a:custClr>
    <a:custClr name="Slate 170: Dark fill_White text">
      <a:srgbClr val="2A2F2F"/>
    </a:custClr>
    <a:custClr name="Pine 170: Dark fill_White text">
      <a:srgbClr val="1E3224"/>
    </a:custClr>
    <a:custClr name="Teal 170: Dark fill_White text">
      <a:srgbClr val="1E3133"/>
    </a:custClr>
    <a:custClr name="Ocean 170: Dark fill_White text">
      <a:srgbClr val="1A2F3F"/>
    </a:custClr>
    <a:custClr name="Lilac 170: Dark fill_White text">
      <a:srgbClr val="2A2D3F"/>
    </a:custClr>
    <a:custClr name="Plum 170: Dark fill_White text">
      <a:srgbClr val="36293C"/>
    </a:custClr>
    <a:custClr name="Rose 170: Dark fill_White text">
      <a:srgbClr val="41242B"/>
    </a:custClr>
    <a:custClr name="Sky 170: Dark fill_White text">
      <a:srgbClr val="053242"/>
    </a:custClr>
  </a:custClr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adarsh.kumar@oracle.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9EBC2-3D70-4A72-81AF-FA7BD1AD1C5C}">
  <dimension ref="B1:K33"/>
  <sheetViews>
    <sheetView showGridLines="0" showRowColHeaders="0" tabSelected="1" zoomScale="70" zoomScaleNormal="70" workbookViewId="0">
      <selection activeCell="M12" sqref="M12"/>
    </sheetView>
  </sheetViews>
  <sheetFormatPr defaultColWidth="8.6640625" defaultRowHeight="15" customHeight="1" x14ac:dyDescent="0.3"/>
  <cols>
    <col min="1" max="1" width="3.109375" style="2" customWidth="1"/>
    <col min="2" max="2" width="13.44140625" style="2" customWidth="1"/>
    <col min="3" max="3" width="8.6640625" style="2" customWidth="1"/>
    <col min="4" max="4" width="50.88671875" style="2" customWidth="1"/>
    <col min="5" max="7" width="8.6640625" style="2" customWidth="1"/>
    <col min="8" max="8" width="3.109375" style="2" customWidth="1"/>
    <col min="9" max="16384" width="8.6640625" style="2"/>
  </cols>
  <sheetData>
    <row r="1" spans="2:11" ht="52.35" customHeight="1" x14ac:dyDescent="0.3">
      <c r="C1" s="9"/>
      <c r="D1" s="9"/>
      <c r="E1" s="18"/>
      <c r="F1" s="18"/>
      <c r="G1" s="18"/>
      <c r="H1" s="6"/>
    </row>
    <row r="2" spans="2:11" ht="52.35" customHeight="1" x14ac:dyDescent="0.3">
      <c r="B2" s="9" t="s">
        <v>0</v>
      </c>
      <c r="C2" s="9"/>
      <c r="D2" s="9"/>
      <c r="E2" s="18"/>
      <c r="F2" s="18"/>
      <c r="G2" s="18"/>
      <c r="H2" s="6"/>
    </row>
    <row r="3" spans="2:11" ht="15.75" x14ac:dyDescent="0.3">
      <c r="B3" s="10"/>
      <c r="C3" s="10"/>
      <c r="D3" s="10"/>
      <c r="E3" s="10"/>
      <c r="F3" s="10"/>
      <c r="G3" s="10"/>
    </row>
    <row r="4" spans="2:11" ht="72" customHeight="1" x14ac:dyDescent="0.55000000000000004">
      <c r="B4" s="55" t="s">
        <v>5</v>
      </c>
      <c r="C4" s="55"/>
      <c r="D4" s="55"/>
      <c r="E4" s="55"/>
      <c r="F4" s="55"/>
      <c r="G4" s="55"/>
      <c r="H4" s="3"/>
      <c r="I4" s="3"/>
      <c r="J4" s="3"/>
      <c r="K4" s="3"/>
    </row>
    <row r="5" spans="2:11" ht="15.75" x14ac:dyDescent="0.3"/>
    <row r="6" spans="2:11" ht="30" customHeight="1" x14ac:dyDescent="0.3">
      <c r="B6" s="62" t="s">
        <v>16</v>
      </c>
      <c r="C6" s="62"/>
      <c r="D6" s="38" t="s">
        <v>60</v>
      </c>
      <c r="E6" s="39"/>
      <c r="F6" s="39"/>
      <c r="G6" s="39"/>
    </row>
    <row r="7" spans="2:11" ht="30" customHeight="1" x14ac:dyDescent="0.3">
      <c r="B7" s="62" t="s">
        <v>17</v>
      </c>
      <c r="C7" s="62"/>
      <c r="D7" s="63" t="s">
        <v>53</v>
      </c>
      <c r="E7" s="63"/>
      <c r="F7" s="63"/>
      <c r="G7" s="63"/>
    </row>
    <row r="8" spans="2:11" ht="19.5" x14ac:dyDescent="0.3">
      <c r="B8" s="62" t="s">
        <v>18</v>
      </c>
      <c r="C8" s="62"/>
      <c r="D8" s="38" t="s">
        <v>51</v>
      </c>
      <c r="E8" s="38"/>
      <c r="F8" s="38"/>
      <c r="G8" s="38"/>
    </row>
    <row r="9" spans="2:11" ht="19.5" x14ac:dyDescent="0.35">
      <c r="B9" s="64" t="s">
        <v>19</v>
      </c>
      <c r="C9" s="64"/>
      <c r="D9" s="48" t="s">
        <v>57</v>
      </c>
      <c r="E9" s="41"/>
      <c r="F9" s="41"/>
      <c r="G9" s="41"/>
    </row>
    <row r="10" spans="2:11" ht="20.25" thickBot="1" x14ac:dyDescent="0.4">
      <c r="B10" s="56" t="s">
        <v>20</v>
      </c>
      <c r="C10" s="56"/>
      <c r="D10" s="37">
        <v>46121</v>
      </c>
      <c r="E10" s="40"/>
      <c r="F10" s="40"/>
      <c r="G10" s="40"/>
    </row>
    <row r="11" spans="2:11" ht="16.5" thickTop="1" x14ac:dyDescent="0.3">
      <c r="B11" s="1"/>
    </row>
    <row r="12" spans="2:11" ht="217.7" customHeight="1" x14ac:dyDescent="0.3">
      <c r="B12" s="57" t="s">
        <v>2</v>
      </c>
      <c r="C12" s="57"/>
      <c r="D12" s="57"/>
      <c r="E12" s="57"/>
      <c r="F12" s="57"/>
      <c r="G12" s="57"/>
      <c r="H12" s="14"/>
      <c r="I12" s="14"/>
      <c r="J12" s="14"/>
      <c r="K12" s="14"/>
    </row>
    <row r="13" spans="2:11" ht="15.75" x14ac:dyDescent="0.3">
      <c r="B13" s="58" t="s">
        <v>1</v>
      </c>
      <c r="C13" s="58"/>
      <c r="D13" s="58"/>
      <c r="E13" s="58"/>
      <c r="F13" s="58"/>
      <c r="G13" s="58"/>
      <c r="H13" s="13"/>
      <c r="I13" s="13"/>
      <c r="J13" s="13"/>
      <c r="K13" s="13"/>
    </row>
    <row r="15" spans="2:11" ht="15.75" x14ac:dyDescent="0.3">
      <c r="B15" s="59" t="s">
        <v>4</v>
      </c>
      <c r="C15" s="60"/>
      <c r="D15" s="60"/>
      <c r="E15" s="60"/>
      <c r="F15" s="60"/>
      <c r="G15" s="61"/>
    </row>
    <row r="16" spans="2:11" ht="15.75" x14ac:dyDescent="0.3">
      <c r="B16" s="51" t="s">
        <v>21</v>
      </c>
      <c r="C16" s="52"/>
      <c r="D16" s="43" t="s">
        <v>58</v>
      </c>
      <c r="E16" s="43"/>
      <c r="F16" s="43"/>
      <c r="G16" s="44"/>
    </row>
    <row r="17" spans="2:7" ht="15.75" x14ac:dyDescent="0.3">
      <c r="B17" s="51" t="s">
        <v>22</v>
      </c>
      <c r="C17" s="52"/>
      <c r="D17" s="43" t="s">
        <v>59</v>
      </c>
      <c r="E17" s="43"/>
      <c r="F17" s="43"/>
      <c r="G17" s="44"/>
    </row>
    <row r="18" spans="2:7" ht="15.75" x14ac:dyDescent="0.3">
      <c r="B18" s="51" t="s">
        <v>23</v>
      </c>
      <c r="C18" s="52"/>
      <c r="D18" s="45">
        <f ca="1">TODAY()</f>
        <v>46121</v>
      </c>
      <c r="E18" s="43"/>
      <c r="F18" s="43"/>
      <c r="G18" s="44"/>
    </row>
    <row r="19" spans="2:7" ht="15.75" x14ac:dyDescent="0.3">
      <c r="B19" s="53" t="s">
        <v>24</v>
      </c>
      <c r="C19" s="54"/>
      <c r="D19" s="46" t="s">
        <v>52</v>
      </c>
      <c r="E19" s="46"/>
      <c r="F19" s="46"/>
      <c r="G19" s="47"/>
    </row>
    <row r="20" spans="2:7" ht="15.75" x14ac:dyDescent="0.3"/>
    <row r="21" spans="2:7" ht="15.75" x14ac:dyDescent="0.3"/>
    <row r="31" spans="2:7" ht="15.75" x14ac:dyDescent="0.3"/>
    <row r="32" spans="2:7" ht="15.75" x14ac:dyDescent="0.3"/>
    <row r="33" ht="15.75" x14ac:dyDescent="0.3"/>
  </sheetData>
  <protectedRanges>
    <protectedRange sqref="D6" name="SR Number"/>
  </protectedRanges>
  <mergeCells count="14">
    <mergeCell ref="B18:C18"/>
    <mergeCell ref="B19:C19"/>
    <mergeCell ref="B4:G4"/>
    <mergeCell ref="B10:C10"/>
    <mergeCell ref="B12:G12"/>
    <mergeCell ref="B13:G13"/>
    <mergeCell ref="B15:G15"/>
    <mergeCell ref="B16:C16"/>
    <mergeCell ref="B17:C17"/>
    <mergeCell ref="B6:C6"/>
    <mergeCell ref="B7:C7"/>
    <mergeCell ref="D7:G7"/>
    <mergeCell ref="B8:C8"/>
    <mergeCell ref="B9:C9"/>
  </mergeCells>
  <hyperlinks>
    <hyperlink ref="D9" r:id="rId1" xr:uid="{7D456688-42EE-4620-B4C0-5266F19DF980}"/>
  </hyperlinks>
  <pageMargins left="0.7" right="0.7" top="0.75" bottom="0.75" header="0.3" footer="0.3"/>
  <headerFooter>
    <oddHeader>&amp;L&amp;"Calibri"&amp;10&amp;K000000 Confidential - Oracle Restricted&amp;1#_x000D_</oddHeader>
    <oddFooter>&amp;L_x000D_&amp;1#&amp;"Calibri"&amp;10&amp;K000000 Confidential - Oracle Restricted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A43D-12E0-4152-87C2-7A1C39DAC7C1}">
  <dimension ref="A4:I31"/>
  <sheetViews>
    <sheetView showGridLines="0" topLeftCell="A9" zoomScale="80" zoomScaleNormal="80" workbookViewId="0">
      <selection activeCell="D13" sqref="D13:H13"/>
    </sheetView>
  </sheetViews>
  <sheetFormatPr defaultColWidth="0" defaultRowHeight="15.75" x14ac:dyDescent="0.3"/>
  <cols>
    <col min="1" max="1" width="3.109375" customWidth="1"/>
    <col min="2" max="2" width="4.6640625" bestFit="1" customWidth="1"/>
    <col min="3" max="4" width="25.6640625" customWidth="1"/>
    <col min="5" max="5" width="5.109375" customWidth="1"/>
    <col min="6" max="6" width="4.6640625" bestFit="1" customWidth="1"/>
    <col min="7" max="8" width="25.6640625" customWidth="1"/>
    <col min="9" max="9" width="3.109375" customWidth="1"/>
    <col min="10" max="16384" width="8.6640625" hidden="1"/>
  </cols>
  <sheetData>
    <row r="4" spans="2:8" x14ac:dyDescent="0.3">
      <c r="H4" s="15"/>
    </row>
    <row r="5" spans="2:8" x14ac:dyDescent="0.3">
      <c r="C5" s="5" t="s">
        <v>16</v>
      </c>
      <c r="D5" t="str">
        <f>SR!D6</f>
        <v>4-0002502510</v>
      </c>
    </row>
    <row r="6" spans="2:8" x14ac:dyDescent="0.3">
      <c r="C6" s="5" t="s">
        <v>17</v>
      </c>
      <c r="D6" s="11" t="str">
        <f>SR!D7</f>
        <v>BFCL – Comportamiento de la glosa en transacciones de anulación (Chile)</v>
      </c>
      <c r="E6" s="8"/>
      <c r="F6" s="8"/>
      <c r="G6" s="8"/>
    </row>
    <row r="7" spans="2:8" x14ac:dyDescent="0.3">
      <c r="C7" s="5" t="s">
        <v>18</v>
      </c>
      <c r="D7" s="11" t="str">
        <f>SR!D8</f>
        <v>Chile</v>
      </c>
      <c r="E7" s="8"/>
      <c r="F7" s="8"/>
      <c r="G7" s="8"/>
    </row>
    <row r="8" spans="2:8" x14ac:dyDescent="0.3">
      <c r="C8" s="5"/>
      <c r="D8" s="5"/>
      <c r="E8" s="5"/>
      <c r="F8" s="5"/>
      <c r="G8" s="5"/>
    </row>
    <row r="9" spans="2:8" ht="20.25" thickBot="1" x14ac:dyDescent="0.4">
      <c r="C9" s="67" t="s">
        <v>29</v>
      </c>
      <c r="D9" s="67"/>
      <c r="E9" s="67"/>
      <c r="F9" s="67"/>
      <c r="G9" s="67"/>
      <c r="H9" s="67"/>
    </row>
    <row r="10" spans="2:8" ht="45" customHeight="1" thickTop="1" x14ac:dyDescent="0.3">
      <c r="C10" s="20" t="s">
        <v>25</v>
      </c>
      <c r="D10" s="66" t="s">
        <v>54</v>
      </c>
      <c r="E10" s="66"/>
      <c r="F10" s="66"/>
      <c r="G10" s="66"/>
      <c r="H10" s="66"/>
    </row>
    <row r="11" spans="2:8" ht="45" customHeight="1" x14ac:dyDescent="0.3">
      <c r="C11" s="21" t="s">
        <v>26</v>
      </c>
      <c r="D11" s="65" t="s">
        <v>54</v>
      </c>
      <c r="E11" s="65"/>
      <c r="F11" s="65"/>
      <c r="G11" s="65"/>
      <c r="H11" s="65"/>
    </row>
    <row r="12" spans="2:8" ht="45" customHeight="1" x14ac:dyDescent="0.3">
      <c r="C12" s="21" t="s">
        <v>27</v>
      </c>
      <c r="D12" s="65" t="s">
        <v>55</v>
      </c>
      <c r="E12" s="65"/>
      <c r="F12" s="65"/>
      <c r="G12" s="65"/>
      <c r="H12" s="65"/>
    </row>
    <row r="13" spans="2:8" ht="45" customHeight="1" x14ac:dyDescent="0.3">
      <c r="C13" s="21" t="s">
        <v>28</v>
      </c>
      <c r="D13" s="70" t="s">
        <v>56</v>
      </c>
      <c r="E13" s="71"/>
      <c r="F13" s="71"/>
      <c r="G13" s="71"/>
      <c r="H13" s="72"/>
    </row>
    <row r="15" spans="2:8" ht="19.5" x14ac:dyDescent="0.35">
      <c r="B15" s="68" t="s">
        <v>30</v>
      </c>
      <c r="C15" s="68"/>
      <c r="D15" s="68"/>
      <c r="E15" s="12"/>
      <c r="F15" s="69" t="s">
        <v>33</v>
      </c>
      <c r="G15" s="69"/>
      <c r="H15" s="69"/>
    </row>
    <row r="16" spans="2:8" x14ac:dyDescent="0.3">
      <c r="B16" s="16" t="s">
        <v>3</v>
      </c>
      <c r="C16" s="16" t="s">
        <v>31</v>
      </c>
      <c r="D16" s="16" t="s">
        <v>32</v>
      </c>
      <c r="F16" s="17" t="s">
        <v>3</v>
      </c>
      <c r="G16" s="17" t="s">
        <v>31</v>
      </c>
      <c r="H16" s="17" t="s">
        <v>32</v>
      </c>
    </row>
    <row r="17" spans="2:8" x14ac:dyDescent="0.3">
      <c r="B17" s="19">
        <v>1</v>
      </c>
      <c r="C17" s="7" t="s">
        <v>49</v>
      </c>
      <c r="D17" s="7" t="s">
        <v>50</v>
      </c>
      <c r="E17" s="12"/>
      <c r="F17" s="19">
        <v>1</v>
      </c>
      <c r="G17" s="7" t="s">
        <v>49</v>
      </c>
      <c r="H17" s="7" t="s">
        <v>50</v>
      </c>
    </row>
    <row r="18" spans="2:8" x14ac:dyDescent="0.3">
      <c r="B18" s="19">
        <f>B17+1</f>
        <v>2</v>
      </c>
      <c r="C18" s="7"/>
      <c r="D18" s="7"/>
      <c r="E18" s="12"/>
      <c r="F18" s="19">
        <f>F17+1</f>
        <v>2</v>
      </c>
      <c r="G18" s="7"/>
      <c r="H18" s="7"/>
    </row>
    <row r="19" spans="2:8" x14ac:dyDescent="0.3">
      <c r="B19" s="19">
        <f t="shared" ref="B19:B31" si="0">B18+1</f>
        <v>3</v>
      </c>
      <c r="C19" s="7"/>
      <c r="D19" s="7"/>
      <c r="E19" s="12"/>
      <c r="F19" s="19">
        <f t="shared" ref="F19:F31" si="1">F18+1</f>
        <v>3</v>
      </c>
      <c r="G19" s="7"/>
      <c r="H19" s="7"/>
    </row>
    <row r="20" spans="2:8" x14ac:dyDescent="0.3">
      <c r="B20" s="19">
        <f t="shared" si="0"/>
        <v>4</v>
      </c>
      <c r="C20" s="7"/>
      <c r="D20" s="7"/>
      <c r="E20" s="12"/>
      <c r="F20" s="19">
        <f t="shared" si="1"/>
        <v>4</v>
      </c>
      <c r="G20" s="7"/>
      <c r="H20" s="7"/>
    </row>
    <row r="21" spans="2:8" x14ac:dyDescent="0.3">
      <c r="B21" s="19">
        <f t="shared" si="0"/>
        <v>5</v>
      </c>
      <c r="C21" s="7"/>
      <c r="D21" s="7"/>
      <c r="E21" s="12"/>
      <c r="F21" s="19">
        <f t="shared" si="1"/>
        <v>5</v>
      </c>
      <c r="G21" s="7"/>
      <c r="H21" s="7"/>
    </row>
    <row r="22" spans="2:8" x14ac:dyDescent="0.3">
      <c r="B22" s="19">
        <f t="shared" si="0"/>
        <v>6</v>
      </c>
      <c r="C22" s="7"/>
      <c r="D22" s="7"/>
      <c r="E22" s="12"/>
      <c r="F22" s="19">
        <f t="shared" si="1"/>
        <v>6</v>
      </c>
      <c r="G22" s="7"/>
      <c r="H22" s="7"/>
    </row>
    <row r="23" spans="2:8" x14ac:dyDescent="0.3">
      <c r="B23" s="19">
        <f t="shared" si="0"/>
        <v>7</v>
      </c>
      <c r="C23" s="7"/>
      <c r="D23" s="7"/>
      <c r="F23" s="19">
        <f t="shared" si="1"/>
        <v>7</v>
      </c>
      <c r="G23" s="7"/>
      <c r="H23" s="7"/>
    </row>
    <row r="24" spans="2:8" x14ac:dyDescent="0.3">
      <c r="B24" s="19">
        <f t="shared" si="0"/>
        <v>8</v>
      </c>
      <c r="C24" s="7"/>
      <c r="D24" s="7"/>
      <c r="E24" s="12"/>
      <c r="F24" s="19">
        <f t="shared" si="1"/>
        <v>8</v>
      </c>
      <c r="G24" s="7"/>
      <c r="H24" s="7"/>
    </row>
    <row r="25" spans="2:8" x14ac:dyDescent="0.3">
      <c r="B25" s="19">
        <f t="shared" si="0"/>
        <v>9</v>
      </c>
      <c r="C25" s="7"/>
      <c r="D25" s="7"/>
      <c r="F25" s="19">
        <f t="shared" si="1"/>
        <v>9</v>
      </c>
      <c r="G25" s="7"/>
      <c r="H25" s="7"/>
    </row>
    <row r="26" spans="2:8" x14ac:dyDescent="0.3">
      <c r="B26" s="19">
        <f t="shared" si="0"/>
        <v>10</v>
      </c>
      <c r="C26" s="7"/>
      <c r="D26" s="7"/>
      <c r="F26" s="19">
        <f t="shared" si="1"/>
        <v>10</v>
      </c>
      <c r="G26" s="7"/>
      <c r="H26" s="7"/>
    </row>
    <row r="27" spans="2:8" x14ac:dyDescent="0.3">
      <c r="B27" s="19">
        <f t="shared" si="0"/>
        <v>11</v>
      </c>
      <c r="C27" s="7"/>
      <c r="D27" s="7"/>
      <c r="E27" s="12"/>
      <c r="F27" s="19">
        <f t="shared" si="1"/>
        <v>11</v>
      </c>
      <c r="G27" s="7"/>
      <c r="H27" s="7"/>
    </row>
    <row r="28" spans="2:8" x14ac:dyDescent="0.3">
      <c r="B28" s="19">
        <f t="shared" si="0"/>
        <v>12</v>
      </c>
      <c r="C28" s="7"/>
      <c r="D28" s="7"/>
      <c r="E28" s="12"/>
      <c r="F28" s="19">
        <f t="shared" si="1"/>
        <v>12</v>
      </c>
      <c r="G28" s="7"/>
      <c r="H28" s="7"/>
    </row>
    <row r="29" spans="2:8" x14ac:dyDescent="0.3">
      <c r="B29" s="19">
        <f t="shared" si="0"/>
        <v>13</v>
      </c>
      <c r="C29" s="7"/>
      <c r="D29" s="7"/>
      <c r="E29" s="12"/>
      <c r="F29" s="19">
        <f t="shared" si="1"/>
        <v>13</v>
      </c>
      <c r="G29" s="7"/>
      <c r="H29" s="7"/>
    </row>
    <row r="30" spans="2:8" x14ac:dyDescent="0.3">
      <c r="B30" s="19">
        <f t="shared" si="0"/>
        <v>14</v>
      </c>
      <c r="C30" s="7"/>
      <c r="D30" s="7"/>
      <c r="E30" s="12"/>
      <c r="F30" s="19">
        <f t="shared" si="1"/>
        <v>14</v>
      </c>
      <c r="G30" s="7"/>
      <c r="H30" s="7"/>
    </row>
    <row r="31" spans="2:8" x14ac:dyDescent="0.3">
      <c r="B31" s="19">
        <f t="shared" si="0"/>
        <v>15</v>
      </c>
      <c r="C31" s="7"/>
      <c r="D31" s="7"/>
      <c r="E31" s="12"/>
      <c r="F31" s="19">
        <f t="shared" si="1"/>
        <v>15</v>
      </c>
      <c r="G31" s="7"/>
      <c r="H31" s="7"/>
    </row>
  </sheetData>
  <mergeCells count="7">
    <mergeCell ref="D12:H12"/>
    <mergeCell ref="D10:H10"/>
    <mergeCell ref="D11:H11"/>
    <mergeCell ref="C9:H9"/>
    <mergeCell ref="B15:D15"/>
    <mergeCell ref="F15:H15"/>
    <mergeCell ref="D13:H13"/>
  </mergeCell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7E745-BEC4-40EE-A9F1-F59484FC1465}">
  <sheetPr>
    <tabColor theme="8" tint="0.39997558519241921"/>
  </sheetPr>
  <dimension ref="A4:I29"/>
  <sheetViews>
    <sheetView showGridLines="0" topLeftCell="A7" zoomScale="80" zoomScaleNormal="80" workbookViewId="0">
      <selection activeCell="C19" sqref="C19:H19"/>
    </sheetView>
  </sheetViews>
  <sheetFormatPr defaultColWidth="0" defaultRowHeight="15.75" x14ac:dyDescent="0.3"/>
  <cols>
    <col min="1" max="1" width="3.109375" customWidth="1"/>
    <col min="2" max="2" width="4.6640625" style="49" bestFit="1" customWidth="1"/>
    <col min="3" max="4" width="25.6640625" customWidth="1"/>
    <col min="5" max="5" width="5.109375" customWidth="1"/>
    <col min="6" max="6" width="4.6640625" bestFit="1" customWidth="1"/>
    <col min="7" max="8" width="25.6640625" customWidth="1"/>
    <col min="9" max="9" width="3.109375" customWidth="1"/>
    <col min="10" max="16384" width="8.6640625" hidden="1"/>
  </cols>
  <sheetData>
    <row r="4" spans="2:8" x14ac:dyDescent="0.3">
      <c r="H4" s="15"/>
    </row>
    <row r="5" spans="2:8" x14ac:dyDescent="0.3">
      <c r="C5" s="5" t="s">
        <v>16</v>
      </c>
      <c r="D5" t="str">
        <f>SR!D6</f>
        <v>4-0002502510</v>
      </c>
    </row>
    <row r="6" spans="2:8" x14ac:dyDescent="0.3">
      <c r="C6" s="5" t="s">
        <v>17</v>
      </c>
      <c r="D6" s="11" t="str">
        <f>SR!D7</f>
        <v>BFCL – Comportamiento de la glosa en transacciones de anulación (Chile)</v>
      </c>
      <c r="E6" s="8"/>
      <c r="F6" s="8"/>
      <c r="G6" s="8"/>
    </row>
    <row r="7" spans="2:8" x14ac:dyDescent="0.3">
      <c r="C7" s="5" t="s">
        <v>18</v>
      </c>
      <c r="D7" s="11" t="str">
        <f>SR!D8</f>
        <v>Chile</v>
      </c>
      <c r="E7" s="8"/>
      <c r="F7" s="8"/>
      <c r="G7" s="8"/>
    </row>
    <row r="8" spans="2:8" x14ac:dyDescent="0.3">
      <c r="C8" s="5"/>
      <c r="D8" s="5"/>
      <c r="E8" s="5"/>
      <c r="F8" s="5"/>
      <c r="G8" s="5"/>
    </row>
    <row r="9" spans="2:8" ht="19.5" x14ac:dyDescent="0.35">
      <c r="B9" s="76" t="s">
        <v>43</v>
      </c>
      <c r="C9" s="77"/>
      <c r="D9" s="77"/>
      <c r="E9" s="77"/>
      <c r="F9" s="77"/>
      <c r="G9" s="77"/>
      <c r="H9" s="78"/>
    </row>
    <row r="10" spans="2:8" ht="5.0999999999999996" customHeight="1" x14ac:dyDescent="0.3"/>
    <row r="11" spans="2:8" x14ac:dyDescent="0.3">
      <c r="B11" s="50">
        <v>1</v>
      </c>
      <c r="C11" s="73" t="s">
        <v>36</v>
      </c>
      <c r="D11" s="74"/>
      <c r="E11" s="74"/>
      <c r="F11" s="74"/>
      <c r="G11" s="74"/>
      <c r="H11" s="75"/>
    </row>
    <row r="12" spans="2:8" x14ac:dyDescent="0.3">
      <c r="B12" s="50">
        <v>2</v>
      </c>
      <c r="C12" s="73" t="s">
        <v>38</v>
      </c>
      <c r="D12" s="74"/>
      <c r="E12" s="74"/>
      <c r="F12" s="74"/>
      <c r="G12" s="74"/>
      <c r="H12" s="75"/>
    </row>
    <row r="13" spans="2:8" x14ac:dyDescent="0.3">
      <c r="B13" s="50">
        <v>3</v>
      </c>
      <c r="C13" s="79" t="s">
        <v>39</v>
      </c>
      <c r="D13" s="80"/>
      <c r="E13" s="80"/>
      <c r="F13" s="80"/>
      <c r="G13" s="80"/>
      <c r="H13" s="81"/>
    </row>
    <row r="14" spans="2:8" x14ac:dyDescent="0.3">
      <c r="B14" s="50">
        <v>4</v>
      </c>
      <c r="C14" s="73" t="s">
        <v>42</v>
      </c>
      <c r="D14" s="74"/>
      <c r="E14" s="74"/>
      <c r="F14" s="74"/>
      <c r="G14" s="74"/>
      <c r="H14" s="75"/>
    </row>
    <row r="15" spans="2:8" x14ac:dyDescent="0.3">
      <c r="B15" s="50">
        <v>5</v>
      </c>
      <c r="C15" s="73" t="s">
        <v>37</v>
      </c>
      <c r="D15" s="74"/>
      <c r="E15" s="74"/>
      <c r="F15" s="74"/>
      <c r="G15" s="74"/>
      <c r="H15" s="75"/>
    </row>
    <row r="16" spans="2:8" x14ac:dyDescent="0.3">
      <c r="B16" s="50">
        <v>6</v>
      </c>
      <c r="C16" s="73" t="s">
        <v>40</v>
      </c>
      <c r="D16" s="74"/>
      <c r="E16" s="74"/>
      <c r="F16" s="74"/>
      <c r="G16" s="74"/>
      <c r="H16" s="75"/>
    </row>
    <row r="17" spans="2:8" x14ac:dyDescent="0.3">
      <c r="B17" s="50">
        <v>7</v>
      </c>
      <c r="C17" s="73" t="s">
        <v>41</v>
      </c>
      <c r="D17" s="74"/>
      <c r="E17" s="74"/>
      <c r="F17" s="74"/>
      <c r="G17" s="74"/>
      <c r="H17" s="75"/>
    </row>
    <row r="18" spans="2:8" ht="76.5" customHeight="1" x14ac:dyDescent="0.3">
      <c r="B18" s="50">
        <v>8</v>
      </c>
      <c r="C18" s="79" t="s">
        <v>47</v>
      </c>
      <c r="D18" s="80"/>
      <c r="E18" s="80"/>
      <c r="F18" s="80"/>
      <c r="G18" s="80"/>
      <c r="H18" s="81"/>
    </row>
    <row r="19" spans="2:8" x14ac:dyDescent="0.3">
      <c r="B19" s="50">
        <v>9</v>
      </c>
      <c r="C19" s="73"/>
      <c r="D19" s="74"/>
      <c r="E19" s="74"/>
      <c r="F19" s="74"/>
      <c r="G19" s="74"/>
      <c r="H19" s="75"/>
    </row>
    <row r="20" spans="2:8" x14ac:dyDescent="0.3">
      <c r="B20" s="50">
        <v>10</v>
      </c>
      <c r="C20" s="73"/>
      <c r="D20" s="74"/>
      <c r="E20" s="74"/>
      <c r="F20" s="74"/>
      <c r="G20" s="74"/>
      <c r="H20" s="75"/>
    </row>
    <row r="21" spans="2:8" x14ac:dyDescent="0.3">
      <c r="B21" s="50">
        <v>11</v>
      </c>
      <c r="C21" s="73"/>
      <c r="D21" s="74"/>
      <c r="E21" s="74"/>
      <c r="F21" s="74"/>
      <c r="G21" s="74"/>
      <c r="H21" s="75"/>
    </row>
    <row r="22" spans="2:8" x14ac:dyDescent="0.3">
      <c r="B22" s="50">
        <v>12</v>
      </c>
      <c r="C22" s="73"/>
      <c r="D22" s="74"/>
      <c r="E22" s="74"/>
      <c r="F22" s="74"/>
      <c r="G22" s="74"/>
      <c r="H22" s="75"/>
    </row>
    <row r="23" spans="2:8" x14ac:dyDescent="0.3">
      <c r="B23" s="50">
        <v>13</v>
      </c>
      <c r="C23" s="73"/>
      <c r="D23" s="74"/>
      <c r="E23" s="74"/>
      <c r="F23" s="74"/>
      <c r="G23" s="74"/>
      <c r="H23" s="75"/>
    </row>
    <row r="24" spans="2:8" x14ac:dyDescent="0.3">
      <c r="B24" s="50">
        <v>14</v>
      </c>
      <c r="C24" s="73"/>
      <c r="D24" s="74"/>
      <c r="E24" s="74"/>
      <c r="F24" s="74"/>
      <c r="G24" s="74"/>
      <c r="H24" s="75"/>
    </row>
    <row r="25" spans="2:8" x14ac:dyDescent="0.3">
      <c r="B25" s="50">
        <v>15</v>
      </c>
      <c r="C25" s="73"/>
      <c r="D25" s="74"/>
      <c r="E25" s="74"/>
      <c r="F25" s="74"/>
      <c r="G25" s="74"/>
      <c r="H25" s="75"/>
    </row>
    <row r="26" spans="2:8" x14ac:dyDescent="0.3">
      <c r="B26" s="50">
        <v>16</v>
      </c>
      <c r="C26" s="73"/>
      <c r="D26" s="74"/>
      <c r="E26" s="74"/>
      <c r="F26" s="74"/>
      <c r="G26" s="74"/>
      <c r="H26" s="75"/>
    </row>
    <row r="27" spans="2:8" x14ac:dyDescent="0.3">
      <c r="B27" s="50">
        <v>17</v>
      </c>
      <c r="C27" s="73"/>
      <c r="D27" s="74"/>
      <c r="E27" s="74"/>
      <c r="F27" s="74"/>
      <c r="G27" s="74"/>
      <c r="H27" s="75"/>
    </row>
    <row r="28" spans="2:8" x14ac:dyDescent="0.3">
      <c r="B28" s="50">
        <v>18</v>
      </c>
      <c r="C28" s="73"/>
      <c r="D28" s="74"/>
      <c r="E28" s="74"/>
      <c r="F28" s="74"/>
      <c r="G28" s="74"/>
      <c r="H28" s="75"/>
    </row>
    <row r="29" spans="2:8" x14ac:dyDescent="0.3">
      <c r="B29" s="50">
        <v>19</v>
      </c>
      <c r="C29" s="73"/>
      <c r="D29" s="74"/>
      <c r="E29" s="74"/>
      <c r="F29" s="74"/>
      <c r="G29" s="74"/>
      <c r="H29" s="75"/>
    </row>
  </sheetData>
  <mergeCells count="20">
    <mergeCell ref="C26:H26"/>
    <mergeCell ref="C27:H27"/>
    <mergeCell ref="C28:H28"/>
    <mergeCell ref="C29:H29"/>
    <mergeCell ref="C20:H20"/>
    <mergeCell ref="C21:H21"/>
    <mergeCell ref="C22:H22"/>
    <mergeCell ref="C23:H23"/>
    <mergeCell ref="C24:H24"/>
    <mergeCell ref="C25:H25"/>
    <mergeCell ref="C19:H19"/>
    <mergeCell ref="B9:H9"/>
    <mergeCell ref="C11:H11"/>
    <mergeCell ref="C12:H12"/>
    <mergeCell ref="C13:H13"/>
    <mergeCell ref="C14:H14"/>
    <mergeCell ref="C15:H15"/>
    <mergeCell ref="C16:H16"/>
    <mergeCell ref="C17:H17"/>
    <mergeCell ref="C18:H18"/>
  </mergeCell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3876D-35F1-4EDE-8AE4-45C90B41582C}">
  <sheetPr>
    <tabColor theme="4" tint="0.59999389629810485"/>
  </sheetPr>
  <dimension ref="A4:M38"/>
  <sheetViews>
    <sheetView showGridLines="0" topLeftCell="A9" zoomScale="80" zoomScaleNormal="80" workbookViewId="0">
      <selection activeCell="E24" sqref="E24"/>
    </sheetView>
  </sheetViews>
  <sheetFormatPr defaultColWidth="0" defaultRowHeight="15.75" x14ac:dyDescent="0.3"/>
  <cols>
    <col min="1" max="1" width="3.109375" customWidth="1"/>
    <col min="2" max="2" width="4.6640625" customWidth="1"/>
    <col min="3" max="4" width="25.6640625" customWidth="1"/>
    <col min="5" max="5" width="42.5546875" customWidth="1"/>
    <col min="6" max="6" width="52.109375" customWidth="1"/>
    <col min="7" max="8" width="8.6640625" customWidth="1"/>
    <col min="9" max="9" width="3.109375" customWidth="1"/>
    <col min="10" max="13" width="0" hidden="1" customWidth="1"/>
    <col min="14" max="16384" width="8.6640625" hidden="1"/>
  </cols>
  <sheetData>
    <row r="4" spans="2:9" x14ac:dyDescent="0.3">
      <c r="I4" s="15"/>
    </row>
    <row r="5" spans="2:9" x14ac:dyDescent="0.3">
      <c r="C5" s="5" t="s">
        <v>16</v>
      </c>
      <c r="D5" t="str">
        <f>SR!D6</f>
        <v>4-0002502510</v>
      </c>
    </row>
    <row r="6" spans="2:9" x14ac:dyDescent="0.3">
      <c r="C6" s="5" t="s">
        <v>17</v>
      </c>
      <c r="D6" s="11" t="str">
        <f>SR!D7</f>
        <v>BFCL – Comportamiento de la glosa en transacciones de anulación (Chile)</v>
      </c>
      <c r="F6" s="8"/>
      <c r="G6" s="8"/>
      <c r="H6" s="8"/>
    </row>
    <row r="7" spans="2:9" x14ac:dyDescent="0.3">
      <c r="C7" s="5" t="s">
        <v>18</v>
      </c>
      <c r="D7" s="11" t="str">
        <f>SR!D8</f>
        <v>Chile</v>
      </c>
      <c r="E7" s="8"/>
      <c r="F7" s="8"/>
      <c r="G7" s="8"/>
    </row>
    <row r="9" spans="2:9" ht="20.25" thickBot="1" x14ac:dyDescent="0.4">
      <c r="B9" s="82" t="s">
        <v>6</v>
      </c>
      <c r="C9" s="82"/>
      <c r="D9" s="82"/>
      <c r="E9" s="82"/>
      <c r="F9" s="82"/>
    </row>
    <row r="10" spans="2:9" ht="5.0999999999999996" customHeight="1" thickTop="1" x14ac:dyDescent="0.3"/>
    <row r="11" spans="2:9" ht="19.5" x14ac:dyDescent="0.35">
      <c r="B11" s="22"/>
      <c r="C11" s="23" t="s">
        <v>7</v>
      </c>
      <c r="D11" s="24"/>
      <c r="E11" s="24"/>
      <c r="F11" s="25"/>
    </row>
    <row r="12" spans="2:9" ht="16.5" x14ac:dyDescent="0.3">
      <c r="B12" s="26"/>
      <c r="C12" s="34" t="s">
        <v>9</v>
      </c>
      <c r="D12" s="35" t="s">
        <v>45</v>
      </c>
      <c r="E12" s="33" t="s">
        <v>11</v>
      </c>
      <c r="F12" s="28"/>
    </row>
    <row r="13" spans="2:9" ht="16.5" x14ac:dyDescent="0.3">
      <c r="B13" s="26"/>
      <c r="C13" s="34" t="s">
        <v>8</v>
      </c>
      <c r="D13" s="36" t="s">
        <v>46</v>
      </c>
      <c r="E13" s="33" t="s">
        <v>11</v>
      </c>
      <c r="F13" s="28"/>
    </row>
    <row r="14" spans="2:9" ht="9.9499999999999993" customHeight="1" x14ac:dyDescent="0.3">
      <c r="B14" s="26"/>
      <c r="D14" s="12"/>
      <c r="E14" s="12"/>
      <c r="F14" s="28"/>
    </row>
    <row r="15" spans="2:9" x14ac:dyDescent="0.3">
      <c r="B15" s="26"/>
      <c r="C15" s="27" t="s">
        <v>10</v>
      </c>
      <c r="D15" s="86" t="s">
        <v>48</v>
      </c>
      <c r="E15" s="87"/>
      <c r="F15" s="28"/>
    </row>
    <row r="16" spans="2:9" x14ac:dyDescent="0.3">
      <c r="B16" s="26"/>
      <c r="C16" s="27"/>
      <c r="D16" s="88"/>
      <c r="E16" s="89"/>
      <c r="F16" s="28"/>
    </row>
    <row r="17" spans="2:13" x14ac:dyDescent="0.3">
      <c r="B17" s="26"/>
      <c r="C17" s="27"/>
      <c r="D17" s="90"/>
      <c r="E17" s="91"/>
      <c r="F17" s="28"/>
    </row>
    <row r="18" spans="2:13" x14ac:dyDescent="0.3">
      <c r="B18" s="29"/>
      <c r="C18" s="30"/>
      <c r="D18" s="31"/>
      <c r="E18" s="31"/>
      <c r="F18" s="32"/>
    </row>
    <row r="20" spans="2:13" ht="20.25" thickBot="1" x14ac:dyDescent="0.4">
      <c r="B20" s="83" t="s">
        <v>12</v>
      </c>
      <c r="C20" s="84"/>
      <c r="D20" s="84"/>
      <c r="E20" s="84"/>
      <c r="F20" s="85"/>
      <c r="M20" s="4"/>
    </row>
    <row r="21" spans="2:13" ht="5.0999999999999996" customHeight="1" thickTop="1" x14ac:dyDescent="0.3"/>
    <row r="22" spans="2:13" x14ac:dyDescent="0.3">
      <c r="B22" s="16" t="s">
        <v>3</v>
      </c>
      <c r="C22" s="16" t="s">
        <v>13</v>
      </c>
      <c r="D22" s="16" t="s">
        <v>35</v>
      </c>
      <c r="E22" s="16" t="s">
        <v>14</v>
      </c>
      <c r="F22" s="16" t="s">
        <v>15</v>
      </c>
    </row>
    <row r="23" spans="2:13" x14ac:dyDescent="0.3">
      <c r="B23" s="19">
        <v>1</v>
      </c>
      <c r="C23" s="7" t="s">
        <v>49</v>
      </c>
      <c r="D23" s="42" t="s">
        <v>44</v>
      </c>
      <c r="E23" s="42" t="s">
        <v>61</v>
      </c>
      <c r="F23" s="42"/>
    </row>
    <row r="24" spans="2:13" x14ac:dyDescent="0.3">
      <c r="B24" s="19">
        <v>2</v>
      </c>
      <c r="C24" s="7"/>
      <c r="D24" s="42"/>
      <c r="E24" s="42"/>
      <c r="F24" s="42"/>
    </row>
    <row r="25" spans="2:13" x14ac:dyDescent="0.3">
      <c r="B25" s="19">
        <v>3</v>
      </c>
      <c r="C25" s="42"/>
      <c r="D25" s="42"/>
      <c r="E25" s="42"/>
      <c r="F25" s="42"/>
    </row>
    <row r="26" spans="2:13" x14ac:dyDescent="0.3">
      <c r="B26" s="19">
        <v>4</v>
      </c>
      <c r="C26" s="42"/>
      <c r="D26" s="42"/>
      <c r="E26" s="42"/>
      <c r="F26" s="42"/>
    </row>
    <row r="27" spans="2:13" x14ac:dyDescent="0.3">
      <c r="B27" s="19">
        <v>5</v>
      </c>
      <c r="C27" s="42"/>
      <c r="D27" s="42"/>
      <c r="E27" s="42"/>
      <c r="F27" s="42"/>
    </row>
    <row r="28" spans="2:13" x14ac:dyDescent="0.3">
      <c r="B28" s="19">
        <v>6</v>
      </c>
      <c r="C28" s="42"/>
      <c r="D28" s="42"/>
      <c r="E28" s="42"/>
      <c r="F28" s="42"/>
    </row>
    <row r="29" spans="2:13" x14ac:dyDescent="0.3">
      <c r="B29" s="19">
        <v>7</v>
      </c>
      <c r="C29" s="42"/>
      <c r="D29" s="42"/>
      <c r="E29" s="42"/>
      <c r="F29" s="42"/>
    </row>
    <row r="30" spans="2:13" x14ac:dyDescent="0.3">
      <c r="B30" s="19">
        <v>8</v>
      </c>
      <c r="C30" s="42"/>
      <c r="D30" s="42"/>
      <c r="E30" s="42"/>
      <c r="F30" s="42"/>
    </row>
    <row r="31" spans="2:13" x14ac:dyDescent="0.3">
      <c r="B31" s="19">
        <v>9</v>
      </c>
      <c r="C31" s="42"/>
      <c r="D31" s="42"/>
      <c r="E31" s="42"/>
      <c r="F31" s="42"/>
    </row>
    <row r="32" spans="2:13" x14ac:dyDescent="0.3">
      <c r="B32" s="19">
        <v>10</v>
      </c>
      <c r="C32" s="42"/>
      <c r="D32" s="42"/>
      <c r="E32" s="42"/>
      <c r="F32" s="42"/>
    </row>
    <row r="33" spans="2:6" x14ac:dyDescent="0.3">
      <c r="B33" s="19">
        <v>11</v>
      </c>
      <c r="C33" s="42"/>
      <c r="D33" s="42"/>
      <c r="E33" s="42"/>
      <c r="F33" s="42"/>
    </row>
    <row r="34" spans="2:6" x14ac:dyDescent="0.3">
      <c r="B34" s="19">
        <v>12</v>
      </c>
      <c r="C34" s="42"/>
      <c r="D34" s="42"/>
      <c r="E34" s="42"/>
      <c r="F34" s="42"/>
    </row>
    <row r="35" spans="2:6" x14ac:dyDescent="0.3">
      <c r="B35" s="19">
        <v>13</v>
      </c>
      <c r="C35" s="42"/>
      <c r="D35" s="42"/>
      <c r="E35" s="42"/>
      <c r="F35" s="42"/>
    </row>
    <row r="36" spans="2:6" x14ac:dyDescent="0.3">
      <c r="B36" s="19">
        <v>14</v>
      </c>
      <c r="C36" s="42"/>
      <c r="D36" s="42"/>
      <c r="E36" s="42"/>
      <c r="F36" s="42"/>
    </row>
    <row r="37" spans="2:6" x14ac:dyDescent="0.3">
      <c r="B37" s="19">
        <v>15</v>
      </c>
      <c r="C37" s="42"/>
      <c r="D37" s="42"/>
      <c r="E37" s="42"/>
      <c r="F37" s="42"/>
    </row>
    <row r="38" spans="2:6" x14ac:dyDescent="0.3">
      <c r="B38" s="19">
        <v>16</v>
      </c>
      <c r="C38" s="42"/>
      <c r="D38" s="42"/>
      <c r="E38" s="42"/>
      <c r="F38" s="42"/>
    </row>
  </sheetData>
  <mergeCells count="3">
    <mergeCell ref="B9:F9"/>
    <mergeCell ref="B20:F20"/>
    <mergeCell ref="D15:E17"/>
  </mergeCells>
  <dataValidations count="2">
    <dataValidation type="list" allowBlank="1" showInputMessage="1" showErrorMessage="1" sqref="D12" xr:uid="{B6AB300F-1E5F-4370-904A-1D9AD31112DB}">
      <formula1>"Cualquier Día, Día Habil, Fin de semana"</formula1>
    </dataValidation>
    <dataValidation type="list" allowBlank="1" showInputMessage="1" showErrorMessage="1" sqref="D13" xr:uid="{F8355FEA-404B-4EFA-980A-C839D2150085}">
      <formula1>"En cualquier momento del dia, Entre EOD y BOD, Despues BOD Batch, "</formula1>
    </dataValidation>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A37AF-A596-406A-9E87-E29AF44F2940}">
  <sheetPr>
    <tabColor theme="9" tint="0.59999389629810485"/>
  </sheetPr>
  <dimension ref="A4:M27"/>
  <sheetViews>
    <sheetView showGridLines="0" zoomScale="80" zoomScaleNormal="80" workbookViewId="0">
      <selection activeCell="E15" sqref="E15"/>
    </sheetView>
  </sheetViews>
  <sheetFormatPr defaultColWidth="0" defaultRowHeight="15.75" x14ac:dyDescent="0.3"/>
  <cols>
    <col min="1" max="1" width="3.109375" customWidth="1"/>
    <col min="2" max="2" width="4.6640625" customWidth="1"/>
    <col min="3" max="4" width="25.6640625" customWidth="1"/>
    <col min="5" max="5" width="42.5546875" customWidth="1"/>
    <col min="6" max="6" width="52.109375" customWidth="1"/>
    <col min="7" max="8" width="8.6640625" customWidth="1"/>
    <col min="9" max="9" width="3.109375" customWidth="1"/>
    <col min="10" max="13" width="0" hidden="1" customWidth="1"/>
    <col min="14" max="16384" width="8.6640625" hidden="1"/>
  </cols>
  <sheetData>
    <row r="4" spans="2:13" x14ac:dyDescent="0.3">
      <c r="I4" s="15"/>
    </row>
    <row r="5" spans="2:13" x14ac:dyDescent="0.3">
      <c r="C5" s="5" t="s">
        <v>16</v>
      </c>
      <c r="D5" t="str">
        <f>SR!D6</f>
        <v>4-0002502510</v>
      </c>
    </row>
    <row r="6" spans="2:13" x14ac:dyDescent="0.3">
      <c r="C6" s="5" t="s">
        <v>17</v>
      </c>
      <c r="D6" s="11" t="str">
        <f>SR!D7</f>
        <v>BFCL – Comportamiento de la glosa en transacciones de anulación (Chile)</v>
      </c>
      <c r="F6" s="8"/>
      <c r="G6" s="8"/>
      <c r="H6" s="8"/>
    </row>
    <row r="7" spans="2:13" x14ac:dyDescent="0.3">
      <c r="C7" s="5" t="s">
        <v>18</v>
      </c>
      <c r="D7" s="11" t="str">
        <f>SR!D8</f>
        <v>Chile</v>
      </c>
      <c r="E7" s="8"/>
      <c r="F7" s="8"/>
      <c r="G7" s="8"/>
    </row>
    <row r="9" spans="2:13" ht="20.25" thickBot="1" x14ac:dyDescent="0.4">
      <c r="B9" s="92" t="s">
        <v>34</v>
      </c>
      <c r="C9" s="93"/>
      <c r="D9" s="93"/>
      <c r="E9" s="93"/>
      <c r="F9" s="94"/>
      <c r="M9" s="4"/>
    </row>
    <row r="10" spans="2:13" ht="5.0999999999999996" customHeight="1" thickTop="1" x14ac:dyDescent="0.3"/>
    <row r="11" spans="2:13" x14ac:dyDescent="0.3">
      <c r="B11" s="17" t="s">
        <v>3</v>
      </c>
      <c r="C11" s="17" t="s">
        <v>13</v>
      </c>
      <c r="D11" s="17" t="s">
        <v>35</v>
      </c>
      <c r="E11" s="17" t="s">
        <v>14</v>
      </c>
      <c r="F11" s="17" t="s">
        <v>15</v>
      </c>
    </row>
    <row r="12" spans="2:13" x14ac:dyDescent="0.3">
      <c r="B12" s="19">
        <v>1</v>
      </c>
      <c r="C12" s="7" t="s">
        <v>49</v>
      </c>
      <c r="D12" s="42" t="s">
        <v>44</v>
      </c>
      <c r="E12" s="42" t="s">
        <v>62</v>
      </c>
      <c r="F12" s="42"/>
    </row>
    <row r="13" spans="2:13" x14ac:dyDescent="0.3">
      <c r="B13" s="19">
        <v>2</v>
      </c>
      <c r="C13" s="7"/>
      <c r="D13" s="42"/>
      <c r="E13" s="42"/>
      <c r="F13" s="42"/>
    </row>
    <row r="14" spans="2:13" x14ac:dyDescent="0.3">
      <c r="B14" s="19">
        <v>3</v>
      </c>
      <c r="C14" s="42"/>
      <c r="D14" s="42"/>
      <c r="E14" s="42"/>
      <c r="F14" s="42"/>
    </row>
    <row r="15" spans="2:13" x14ac:dyDescent="0.3">
      <c r="B15" s="19">
        <v>4</v>
      </c>
      <c r="C15" s="42"/>
      <c r="D15" s="42"/>
      <c r="E15" s="42"/>
      <c r="F15" s="42"/>
    </row>
    <row r="16" spans="2:13" x14ac:dyDescent="0.3">
      <c r="B16" s="19">
        <v>5</v>
      </c>
      <c r="C16" s="42"/>
      <c r="D16" s="42"/>
      <c r="E16" s="42"/>
      <c r="F16" s="42"/>
    </row>
    <row r="17" spans="2:6" x14ac:dyDescent="0.3">
      <c r="B17" s="19">
        <v>6</v>
      </c>
      <c r="C17" s="42"/>
      <c r="D17" s="42"/>
      <c r="E17" s="42"/>
      <c r="F17" s="42"/>
    </row>
    <row r="18" spans="2:6" x14ac:dyDescent="0.3">
      <c r="B18" s="19">
        <v>7</v>
      </c>
      <c r="C18" s="42"/>
      <c r="D18" s="42"/>
      <c r="E18" s="42"/>
      <c r="F18" s="42"/>
    </row>
    <row r="19" spans="2:6" x14ac:dyDescent="0.3">
      <c r="B19" s="19">
        <v>8</v>
      </c>
      <c r="C19" s="42"/>
      <c r="D19" s="42"/>
      <c r="E19" s="42"/>
      <c r="F19" s="42"/>
    </row>
    <row r="20" spans="2:6" x14ac:dyDescent="0.3">
      <c r="B20" s="19">
        <v>9</v>
      </c>
      <c r="C20" s="42"/>
      <c r="D20" s="42"/>
      <c r="E20" s="42"/>
      <c r="F20" s="42"/>
    </row>
    <row r="21" spans="2:6" x14ac:dyDescent="0.3">
      <c r="B21" s="19">
        <v>10</v>
      </c>
      <c r="C21" s="42"/>
      <c r="D21" s="42"/>
      <c r="E21" s="42"/>
      <c r="F21" s="42"/>
    </row>
    <row r="22" spans="2:6" x14ac:dyDescent="0.3">
      <c r="B22" s="19">
        <v>11</v>
      </c>
      <c r="C22" s="42"/>
      <c r="D22" s="42"/>
      <c r="E22" s="42"/>
      <c r="F22" s="42"/>
    </row>
    <row r="23" spans="2:6" x14ac:dyDescent="0.3">
      <c r="B23" s="19">
        <v>12</v>
      </c>
      <c r="C23" s="42"/>
      <c r="D23" s="42"/>
      <c r="E23" s="42"/>
      <c r="F23" s="42"/>
    </row>
    <row r="24" spans="2:6" x14ac:dyDescent="0.3">
      <c r="B24" s="19">
        <v>13</v>
      </c>
      <c r="C24" s="42"/>
      <c r="D24" s="42"/>
      <c r="E24" s="42"/>
      <c r="F24" s="42"/>
    </row>
    <row r="25" spans="2:6" x14ac:dyDescent="0.3">
      <c r="B25" s="19">
        <v>14</v>
      </c>
      <c r="C25" s="42"/>
      <c r="D25" s="42"/>
      <c r="E25" s="42"/>
      <c r="F25" s="42"/>
    </row>
    <row r="26" spans="2:6" x14ac:dyDescent="0.3">
      <c r="B26" s="19">
        <v>15</v>
      </c>
      <c r="C26" s="42"/>
      <c r="D26" s="42"/>
      <c r="E26" s="42"/>
      <c r="F26" s="42"/>
    </row>
    <row r="27" spans="2:6" x14ac:dyDescent="0.3">
      <c r="B27" s="19">
        <v>16</v>
      </c>
      <c r="C27" s="42"/>
      <c r="D27" s="42"/>
      <c r="E27" s="42"/>
      <c r="F27" s="42"/>
    </row>
  </sheetData>
  <mergeCells count="1">
    <mergeCell ref="B9:F9"/>
  </mergeCells>
  <pageMargins left="0.7" right="0.7" top="0.75" bottom="0.75" header="0.3" footer="0.3"/>
  <headerFooter>
    <oddHeader>&amp;L&amp;"Calibri"&amp;10&amp;K000000 Confidential - Oracle Restricted&amp;1#_x000D_</oddHeader>
    <oddFooter>&amp;L_x000D_&amp;1#&amp;"Calibri"&amp;10&amp;K000000 Confidential - Oracle Restricted</oddFooter>
  </headerFooter>
  <drawing r:id="rId1"/>
</worksheet>
</file>

<file path=docMetadata/LabelInfo.xml><?xml version="1.0" encoding="utf-8"?>
<clbl:labelList xmlns:clbl="http://schemas.microsoft.com/office/2020/mipLabelMetadata">
  <clbl:label id="{56665055-977f-4acd-9884-1bec8e5ad200}" enabled="1" method="Standard" siteId="{4e2c6054-71cb-48f1-bd6c-3a9705aca71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SR</vt:lpstr>
      <vt:lpstr>1_Detalles</vt:lpstr>
      <vt:lpstr>2_Precauciones</vt:lpstr>
      <vt:lpstr>3_Instalacion</vt:lpstr>
      <vt:lpstr>4_Rollback</vt:lpstr>
    </vt:vector>
  </TitlesOfParts>
  <Company>Oracle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Scarlett J Hajek Contreras</dc:creator>
  <cp:lastModifiedBy>Adarsh Kumar</cp:lastModifiedBy>
  <dcterms:created xsi:type="dcterms:W3CDTF">2024-10-10T12:54:46Z</dcterms:created>
  <dcterms:modified xsi:type="dcterms:W3CDTF">2026-04-09T18:21:28Z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665055-977f-4acd-9884-1bec8e5ad200_Enabled">
    <vt:lpwstr>true</vt:lpwstr>
  </property>
  <property fmtid="{D5CDD505-2E9C-101B-9397-08002B2CF9AE}" pid="3" name="MSIP_Label_56665055-977f-4acd-9884-1bec8e5ad200_SetDate">
    <vt:lpwstr>2025-04-08T20:11:07Z</vt:lpwstr>
  </property>
  <property fmtid="{D5CDD505-2E9C-101B-9397-08002B2CF9AE}" pid="4" name="MSIP_Label_56665055-977f-4acd-9884-1bec8e5ad200_Method">
    <vt:lpwstr>Standard</vt:lpwstr>
  </property>
  <property fmtid="{D5CDD505-2E9C-101B-9397-08002B2CF9AE}" pid="5" name="MSIP_Label_56665055-977f-4acd-9884-1bec8e5ad200_Name">
    <vt:lpwstr>Anyone ( Unrestricted )</vt:lpwstr>
  </property>
  <property fmtid="{D5CDD505-2E9C-101B-9397-08002B2CF9AE}" pid="6" name="MSIP_Label_56665055-977f-4acd-9884-1bec8e5ad200_SiteId">
    <vt:lpwstr>4e2c6054-71cb-48f1-bd6c-3a9705aca71b</vt:lpwstr>
  </property>
  <property fmtid="{D5CDD505-2E9C-101B-9397-08002B2CF9AE}" pid="7" name="MSIP_Label_56665055-977f-4acd-9884-1bec8e5ad200_ActionId">
    <vt:lpwstr>450aabf5-9f3c-4508-84fe-7a65f16ef9b8</vt:lpwstr>
  </property>
  <property fmtid="{D5CDD505-2E9C-101B-9397-08002B2CF9AE}" pid="8" name="MSIP_Label_56665055-977f-4acd-9884-1bec8e5ad200_ContentBits">
    <vt:lpwstr>3</vt:lpwstr>
  </property>
</Properties>
</file>